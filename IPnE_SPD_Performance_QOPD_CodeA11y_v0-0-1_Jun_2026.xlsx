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721" firstSheet="0" activeTab="3" autoFilterDateGrouping="1"/>
  </bookViews>
  <sheets>
    <sheet xmlns:r="http://schemas.openxmlformats.org/officeDocument/2006/relationships" name="Cover Page" sheetId="1" state="visible" r:id="rId1"/>
    <sheet xmlns:r="http://schemas.openxmlformats.org/officeDocument/2006/relationships" name="Read me" sheetId="2" state="visible" r:id="rId2"/>
    <sheet xmlns:r="http://schemas.openxmlformats.org/officeDocument/2006/relationships" name="Asset Info" sheetId="3" state="visible" r:id="rId3"/>
    <sheet xmlns:r="http://schemas.openxmlformats.org/officeDocument/2006/relationships" name="Performance" sheetId="4" state="visible" r:id="rId4"/>
    <sheet xmlns:r="http://schemas.openxmlformats.org/officeDocument/2006/relationships" name="Data_Validations" sheetId="5" state="hidden" r:id="rId5"/>
    <sheet xmlns:r="http://schemas.openxmlformats.org/officeDocument/2006/relationships" name="Data_Constants" sheetId="6" state="hidden" r:id="rId6"/>
    <sheet xmlns:r="http://schemas.openxmlformats.org/officeDocument/2006/relationships" name="Internal_Release" sheetId="7" state="hidden" r:id="rId7"/>
    <sheet xmlns:r="http://schemas.openxmlformats.org/officeDocument/2006/relationships" name="Report" sheetId="8" state="visible" r:id="rId8"/>
  </sheets>
  <definedNames>
    <definedName name="_sc_030BAB0B_E5D3_4D88_BCF1_7F515BC46544">Performance!$F$95</definedName>
    <definedName name="_sc_5A374052_E185_46EA_A244_FD64BEF8FB39">NA()</definedName>
    <definedName name="_Toc321998231">#REF!</definedName>
    <definedName name="_Toc321998232">#REF!</definedName>
    <definedName name="_Toc321998235">Performance!#REF!</definedName>
    <definedName name="_Toc321998238">#REF!</definedName>
    <definedName name="_Toc321998240">#REF!</definedName>
    <definedName name="_Toc321998241">#REF!</definedName>
    <definedName name="_Toc321998242">#REF!</definedName>
    <definedName name="_Toc329613520">#REF!</definedName>
    <definedName name="_Toc329613521">#REF!</definedName>
    <definedName name="_Toc329613522">#REF!</definedName>
    <definedName name="_Toc329613525">Performance!#REF!</definedName>
    <definedName name="_Toc329613526">Performance!$B$164</definedName>
    <definedName name="_Toc329613527">Performance!$B$146</definedName>
    <definedName name="_Toc329613530">#REF!</definedName>
    <definedName name="_Toc329613531">#REF!</definedName>
    <definedName name="_Toc329613532">#REF!</definedName>
    <definedName name="_Toc329613533">#REF!</definedName>
    <definedName name="_Toc329613534">#REF!</definedName>
    <definedName name="_Toc329613539">#REF!</definedName>
    <definedName name="_Toc467444151">#REF!</definedName>
    <definedName name="_Toc468848071">#REF!</definedName>
    <definedName name="Concurrent_user">Performance!#REF!</definedName>
    <definedName name="concurrent_users">Performance!#REF!</definedName>
    <definedName name="Data_retention">NA()</definedName>
    <definedName name="Data_Retention_and_Archival">Performance!$B$149:$D$149</definedName>
    <definedName name="Expected_growth_in_users">Performance!#REF!</definedName>
    <definedName name="Expected_number_of_concurrent_users">Performance!#REF!</definedName>
    <definedName name="Growth_User">Performance!#REF!</definedName>
    <definedName name="Growth_users">Performance!#REF!</definedName>
    <definedName name="Per_Browser">NA()</definedName>
    <definedName name="PerfTablesLimiter">Data_Constants!$A$3:$E$22</definedName>
    <definedName name="Response_Time_Requirements___Business_Services">Performance!#REF!</definedName>
    <definedName name="Response_Time_Requirements___Test_Harness_Transactions">NA()</definedName>
    <definedName name="Response_Time_Requirements___Transactions">NA()</definedName>
    <definedName name="Response_Time_Requirements_Transactions">NA()</definedName>
    <definedName name="Target_of_number_of_transactions_queries">Performance!#REF!</definedName>
    <definedName name="Time_SQP_event">Performance!#REF!</definedName>
    <definedName name="Time_SQP_trans">Performance!#REF!</definedName>
    <definedName name="Time_test_harness">NA()</definedName>
    <definedName name="Time_web">Performance!$D$76</definedName>
    <definedName name="Transaction">Performance!#REF!</definedName>
    <definedName name="Web_avail">#REF!</definedName>
    <definedName name="Web_avail_back">#REF!</definedName>
  </definedNames>
  <calcPr calcId="191028" fullCalcOnLoad="1"/>
</workbook>
</file>

<file path=xl/styles.xml><?xml version="1.0" encoding="utf-8"?>
<styleSheet xmlns="http://schemas.openxmlformats.org/spreadsheetml/2006/main">
  <numFmts count="2">
    <numFmt numFmtId="164" formatCode="[$-409]General"/>
    <numFmt numFmtId="165" formatCode="[$$-409]#,##0.00;[Red]&quot;-&quot;[$$-409]#,##0.00"/>
  </numFmts>
  <fonts count="73">
    <font>
      <name val="Arial"/>
      <family val="2"/>
      <sz val="10"/>
    </font>
    <font>
      <name val="Calibri"/>
      <family val="2"/>
      <color theme="1"/>
      <sz val="11"/>
      <scheme val="minor"/>
    </font>
    <font>
      <name val="Calibri"/>
      <charset val="1"/>
      <family val="2"/>
      <color indexed="8"/>
      <sz val="11"/>
    </font>
    <font>
      <name val="Calibri"/>
      <charset val="1"/>
      <family val="2"/>
      <b val="1"/>
      <color indexed="8"/>
      <sz val="9"/>
    </font>
    <font>
      <name val="Calibri"/>
      <charset val="1"/>
      <family val="2"/>
      <color indexed="8"/>
      <sz val="9"/>
    </font>
    <font>
      <name val="Calibri"/>
      <charset val="1"/>
      <family val="2"/>
      <sz val="9"/>
    </font>
    <font>
      <name val="Calibri"/>
      <charset val="1"/>
      <family val="2"/>
      <color indexed="12"/>
      <sz val="11"/>
      <u val="single"/>
    </font>
    <font>
      <name val="Calibri"/>
      <charset val="1"/>
      <family val="2"/>
      <b val="1"/>
      <color indexed="8"/>
      <sz val="9"/>
      <u val="single"/>
    </font>
    <font>
      <name val="Calibri"/>
      <charset val="1"/>
      <family val="2"/>
      <b val="1"/>
      <color indexed="8"/>
      <sz val="10"/>
    </font>
    <font>
      <name val="Calibri"/>
      <charset val="1"/>
      <family val="2"/>
      <b val="1"/>
      <color indexed="8"/>
      <sz val="11"/>
    </font>
    <font>
      <name val="Calibri"/>
      <family val="2"/>
      <sz val="9"/>
    </font>
    <font>
      <name val="Calibri"/>
      <charset val="1"/>
      <family val="2"/>
      <i val="1"/>
      <color indexed="8"/>
      <sz val="11"/>
    </font>
    <font>
      <name val="Calibri"/>
      <charset val="1"/>
      <family val="2"/>
      <b val="1"/>
      <i val="1"/>
      <sz val="10"/>
    </font>
    <font>
      <name val="Calibri"/>
      <family val="2"/>
      <color indexed="8"/>
      <sz val="10"/>
    </font>
    <font>
      <name val="Calibri"/>
      <family val="2"/>
      <i val="1"/>
      <color indexed="8"/>
      <sz val="9"/>
    </font>
    <font>
      <name val="Calibri"/>
      <family val="2"/>
      <color theme="1"/>
      <sz val="11"/>
      <scheme val="minor"/>
    </font>
    <font>
      <name val="Calibri"/>
      <family val="2"/>
      <color indexed="8"/>
      <sz val="9"/>
    </font>
    <font>
      <name val="Calibri"/>
      <family val="2"/>
      <color rgb="FF000000"/>
      <sz val="11"/>
    </font>
    <font>
      <name val="Arial"/>
      <family val="2"/>
      <color theme="1"/>
      <sz val="11"/>
    </font>
    <font>
      <name val="Calibri"/>
      <family val="2"/>
      <color rgb="FF0000FF"/>
      <sz val="11"/>
      <u val="single"/>
    </font>
    <font>
      <name val="Arial"/>
      <family val="2"/>
      <b val="1"/>
      <i val="1"/>
      <color theme="1"/>
      <sz val="16"/>
    </font>
    <font>
      <name val="Arial"/>
      <family val="2"/>
      <b val="1"/>
      <i val="1"/>
      <color theme="1"/>
      <sz val="11"/>
      <u val="single"/>
    </font>
    <font>
      <name val="Arial"/>
      <family val="2"/>
      <sz val="8"/>
    </font>
    <font>
      <name val="Calibri"/>
      <family val="2"/>
      <b val="1"/>
      <i val="1"/>
      <color indexed="8"/>
      <sz val="9"/>
    </font>
    <font>
      <name val="Calibri"/>
      <charset val="1"/>
      <family val="2"/>
      <i val="1"/>
      <color indexed="12"/>
      <sz val="11"/>
    </font>
    <font>
      <name val="Calibri"/>
      <charset val="1"/>
      <family val="2"/>
      <b val="1"/>
      <i val="1"/>
      <color indexed="12"/>
      <sz val="10"/>
    </font>
    <font>
      <name val="Calibri"/>
      <charset val="1"/>
      <family val="2"/>
      <color indexed="12"/>
      <sz val="9"/>
    </font>
    <font>
      <name val="Calibri"/>
      <charset val="1"/>
      <family val="2"/>
      <b val="1"/>
      <color indexed="12"/>
      <sz val="9"/>
    </font>
    <font>
      <name val="Calibri"/>
      <charset val="1"/>
      <family val="2"/>
      <color indexed="12"/>
      <sz val="11"/>
    </font>
    <font>
      <name val="Arial"/>
      <charset val="1"/>
      <family val="2"/>
      <b val="1"/>
      <color indexed="12"/>
      <sz val="10"/>
    </font>
    <font>
      <name val="Calibri"/>
      <charset val="1"/>
      <family val="2"/>
      <color indexed="8"/>
      <sz val="10"/>
    </font>
    <font>
      <name val="Calibri"/>
      <charset val="1"/>
      <family val="2"/>
      <color indexed="12"/>
      <sz val="10"/>
    </font>
    <font>
      <name val="Calibri"/>
      <family val="2"/>
      <color indexed="12"/>
      <sz val="9"/>
    </font>
    <font>
      <name val="Calibri"/>
      <family val="2"/>
      <b val="1"/>
      <color rgb="FF000000"/>
      <sz val="10"/>
    </font>
    <font>
      <name val="Calibri"/>
      <family val="2"/>
      <color rgb="FF000000"/>
      <sz val="10"/>
    </font>
    <font>
      <name val="Calibri"/>
      <family val="2"/>
      <b val="1"/>
      <color rgb="FFFFFFFF"/>
      <sz val="10"/>
    </font>
    <font>
      <name val="Calibri"/>
      <family val="2"/>
      <color rgb="FFE41165"/>
      <sz val="11"/>
    </font>
    <font>
      <name val="Calibri"/>
      <family val="2"/>
      <b val="1"/>
      <sz val="10"/>
    </font>
    <font>
      <name val="Calibri"/>
      <family val="2"/>
      <sz val="10"/>
    </font>
    <font>
      <name val="Calibri"/>
      <family val="2"/>
      <b val="1"/>
      <sz val="12"/>
    </font>
    <font>
      <name val="Calibri"/>
      <family val="2"/>
      <b val="1"/>
      <color rgb="FF000000"/>
      <sz val="12"/>
    </font>
    <font>
      <name val="Calibri"/>
      <family val="2"/>
      <color rgb="FF444444"/>
      <sz val="11"/>
    </font>
    <font>
      <name val="Calibri"/>
      <charset val="1"/>
      <family val="2"/>
      <i val="1"/>
      <color indexed="12"/>
      <sz val="10"/>
    </font>
    <font>
      <name val="Calibri"/>
      <charset val="1"/>
      <family val="2"/>
      <i val="1"/>
      <color indexed="8"/>
      <sz val="10"/>
    </font>
    <font>
      <name val="Calibri"/>
      <family val="2"/>
      <i val="1"/>
      <color rgb="FF000000"/>
      <sz val="10"/>
    </font>
    <font>
      <name val="Calibri"/>
      <family val="2"/>
      <color rgb="FF000000"/>
      <sz val="9"/>
    </font>
    <font>
      <name val="Calibri"/>
      <family val="2"/>
      <b val="1"/>
      <color rgb="FFFFFFFF"/>
      <sz val="9"/>
    </font>
    <font>
      <name val="Arial"/>
      <family val="2"/>
      <sz val="9"/>
    </font>
    <font>
      <name val="Calibri"/>
      <family val="2"/>
      <b val="1"/>
      <color rgb="FFFFFFFF"/>
      <sz val="10"/>
      <vertAlign val="superscript"/>
    </font>
    <font>
      <name val="Calibri"/>
      <charset val="1"/>
      <family val="2"/>
      <color rgb="FF444444"/>
      <sz val="11"/>
    </font>
    <font>
      <name val="Calibri"/>
      <family val="2"/>
      <color indexed="8"/>
      <sz val="11"/>
    </font>
    <font>
      <name val="Calibri"/>
      <family val="2"/>
      <b val="1"/>
      <color rgb="FF000000"/>
      <sz val="9"/>
    </font>
    <font>
      <name val="Calibri"/>
      <family val="2"/>
      <b val="1"/>
      <color theme="0"/>
      <sz val="10"/>
    </font>
    <font>
      <name val="Calibri"/>
      <family val="2"/>
      <color theme="1"/>
      <sz val="10"/>
    </font>
    <font>
      <name val="Calibri"/>
      <family val="2"/>
      <color rgb="FFF7639E"/>
      <sz val="11"/>
    </font>
    <font>
      <name val="Inherit"/>
      <charset val="1"/>
      <i val="1"/>
      <color rgb="FF000000"/>
      <sz val="10"/>
    </font>
    <font>
      <name val="Calibri"/>
      <charset val="1"/>
      <family val="2"/>
      <b val="1"/>
      <color rgb="FF3F3F3F"/>
      <sz val="11"/>
    </font>
    <font>
      <name val="Calibri"/>
      <charset val="1"/>
      <family val="2"/>
      <color rgb="FFFF0000"/>
      <sz val="11"/>
    </font>
    <font>
      <name val="Calibri"/>
      <charset val="1"/>
      <family val="2"/>
      <b val="1"/>
      <color rgb="FF000000"/>
      <sz val="11"/>
    </font>
    <font>
      <name val="Calibri"/>
      <charset val="1"/>
      <family val="2"/>
      <color rgb="FF000000"/>
      <sz val="11"/>
    </font>
    <font>
      <name val="Inherit"/>
      <charset val="1"/>
      <b val="1"/>
      <color rgb="FF000000"/>
      <sz val="10"/>
    </font>
    <font>
      <name val="Inherit"/>
      <charset val="1"/>
      <color rgb="FF000000"/>
      <sz val="10"/>
    </font>
    <font>
      <name val="Calibri"/>
      <family val="2"/>
      <color rgb="FFFF0000"/>
      <sz val="11"/>
    </font>
    <font>
      <name val="Calibri"/>
      <family val="2"/>
      <sz val="11"/>
    </font>
    <font>
      <name val="Calibri"/>
      <charset val="1"/>
      <family val="2"/>
      <color rgb="FF0000FF"/>
      <sz val="9"/>
    </font>
    <font>
      <name val="Arial"/>
      <family val="2"/>
      <b val="1"/>
      <sz val="10"/>
    </font>
    <font>
      <name val="Arial"/>
      <family val="2"/>
      <b val="1"/>
      <color rgb="FF000000"/>
      <sz val="10"/>
    </font>
    <font>
      <name val="Arial"/>
      <family val="2"/>
      <color rgb="FF000000"/>
      <sz val="10"/>
    </font>
    <font>
      <name val="Calibri"/>
      <charset val="1"/>
      <family val="2"/>
      <color rgb="FF0000FF"/>
      <sz val="11"/>
    </font>
    <font>
      <name val="Calibri"/>
      <family val="2"/>
      <color rgb="FF0000FF"/>
      <sz val="9"/>
    </font>
    <font>
      <name val="Calibri"/>
      <charset val="1"/>
      <family val="2"/>
      <color rgb="FF000000"/>
      <sz val="9"/>
    </font>
    <font>
      <name val="Arial"/>
      <charset val="1"/>
      <family val="2"/>
      <color rgb="FF0000FF"/>
      <sz val="9"/>
    </font>
    <font>
      <name val="Arial"/>
      <charset val="1"/>
      <family val="2"/>
      <color indexed="12"/>
      <sz val="9"/>
    </font>
  </fonts>
  <fills count="25">
    <fill>
      <patternFill/>
    </fill>
    <fill>
      <patternFill patternType="gray125"/>
    </fill>
    <fill>
      <patternFill patternType="solid">
        <fgColor rgb="FFFFFF00"/>
        <bgColor indexed="64"/>
      </patternFill>
    </fill>
    <fill>
      <patternFill patternType="solid">
        <fgColor rgb="FFE2EFDA"/>
        <bgColor indexed="64"/>
      </patternFill>
    </fill>
    <fill>
      <patternFill patternType="solid">
        <fgColor rgb="FFC6E0B4"/>
        <bgColor indexed="64"/>
      </patternFill>
    </fill>
    <fill>
      <patternFill patternType="solid">
        <fgColor rgb="FFDDEBF7"/>
        <bgColor indexed="64"/>
      </patternFill>
    </fill>
    <fill>
      <patternFill patternType="solid">
        <fgColor rgb="FFBDD7EE"/>
        <bgColor indexed="64"/>
      </patternFill>
    </fill>
    <fill>
      <patternFill patternType="solid">
        <fgColor rgb="FFFFF2CC"/>
        <bgColor indexed="64"/>
      </patternFill>
    </fill>
    <fill>
      <patternFill patternType="solid">
        <fgColor rgb="FFFFE699"/>
        <bgColor indexed="64"/>
      </patternFill>
    </fill>
    <fill>
      <patternFill patternType="solid">
        <fgColor rgb="FFF4B084"/>
        <bgColor indexed="64"/>
      </patternFill>
    </fill>
    <fill>
      <patternFill patternType="solid">
        <fgColor rgb="FFED7D31"/>
        <bgColor indexed="64"/>
      </patternFill>
    </fill>
    <fill>
      <patternFill patternType="solid">
        <fgColor rgb="FF548235"/>
        <bgColor indexed="64"/>
      </patternFill>
    </fill>
    <fill>
      <patternFill patternType="solid">
        <fgColor rgb="FF00B0F0"/>
        <bgColor indexed="64"/>
      </patternFill>
    </fill>
    <fill>
      <patternFill patternType="solid">
        <fgColor rgb="FFE41165"/>
        <bgColor rgb="FF000000"/>
      </patternFill>
    </fill>
    <fill>
      <patternFill patternType="solid">
        <fgColor rgb="FF595959"/>
        <bgColor rgb="FF000000"/>
      </patternFill>
    </fill>
    <fill>
      <patternFill patternType="solid">
        <fgColor rgb="FFD9D9D9"/>
        <bgColor rgb="FF000000"/>
      </patternFill>
    </fill>
    <fill>
      <patternFill patternType="solid">
        <fgColor rgb="FFFFFFFF"/>
        <bgColor indexed="64"/>
      </patternFill>
    </fill>
    <fill>
      <patternFill patternType="solid">
        <fgColor theme="5"/>
        <bgColor theme="5"/>
      </patternFill>
    </fill>
    <fill>
      <patternFill patternType="solid">
        <fgColor rgb="FFF4B084"/>
        <bgColor rgb="FF000000"/>
      </patternFill>
    </fill>
    <fill>
      <patternFill patternType="solid">
        <fgColor rgb="FFED7D31"/>
        <bgColor rgb="FF000000"/>
      </patternFill>
    </fill>
    <fill>
      <patternFill patternType="solid">
        <fgColor rgb="FFF2F2F2"/>
        <bgColor indexed="64"/>
      </patternFill>
    </fill>
    <fill>
      <patternFill patternType="solid">
        <fgColor rgb="FFF8CBAD"/>
        <bgColor indexed="64"/>
      </patternFill>
    </fill>
    <fill>
      <patternFill patternType="solid">
        <fgColor rgb="FFEA157A"/>
        <bgColor rgb="FFEA157A"/>
      </patternFill>
    </fill>
    <fill>
      <patternFill patternType="solid">
        <fgColor theme="0"/>
        <bgColor indexed="64"/>
      </patternFill>
    </fill>
    <fill>
      <patternFill patternType="solid">
        <fgColor rgb="FFFFFFFF"/>
        <bgColor rgb="FF000000"/>
      </patternFill>
    </fill>
  </fills>
  <borders count="151">
    <border>
      <left/>
      <right/>
      <top/>
      <bottom/>
      <diagonal/>
    </border>
    <border>
      <left style="thin">
        <color indexed="8"/>
      </left>
      <right style="thin">
        <color indexed="8"/>
      </right>
      <top style="thin">
        <color indexed="8"/>
      </top>
      <bottom style="thin">
        <color indexed="8"/>
      </bottom>
      <diagonal/>
    </border>
    <border>
      <left/>
      <right/>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style="medium">
        <color indexed="8"/>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bottom style="medium">
        <color indexed="8"/>
      </bottom>
      <diagonal/>
    </border>
    <border>
      <left style="medium">
        <color rgb="FF000000"/>
      </left>
      <right style="thin">
        <color indexed="64"/>
      </right>
      <top/>
      <bottom style="medium">
        <color indexed="8"/>
      </bottom>
      <diagonal/>
    </border>
    <border>
      <left style="thin">
        <color indexed="64"/>
      </left>
      <right style="medium">
        <color rgb="FF000000"/>
      </right>
      <top/>
      <bottom style="medium">
        <color indexed="8"/>
      </bottom>
      <diagonal/>
    </border>
    <border>
      <left style="thin">
        <color indexed="8"/>
      </left>
      <right style="medium">
        <color rgb="FF000000"/>
      </right>
      <top/>
      <bottom style="thin">
        <color indexed="8"/>
      </bottom>
      <diagonal/>
    </border>
    <border>
      <left style="medium">
        <color rgb="FF000000"/>
      </left>
      <right style="thin">
        <color indexed="8"/>
      </right>
      <top/>
      <bottom style="thin">
        <color indexed="8"/>
      </bottom>
      <diagonal/>
    </border>
    <border>
      <left style="medium">
        <color rgb="FF000000"/>
      </left>
      <right style="thin">
        <color indexed="8"/>
      </right>
      <top style="thin">
        <color indexed="8"/>
      </top>
      <bottom style="thin">
        <color indexed="8"/>
      </bottom>
      <diagonal/>
    </border>
    <border>
      <left style="thin">
        <color indexed="8"/>
      </left>
      <right style="medium">
        <color rgb="FF000000"/>
      </right>
      <top style="thin">
        <color indexed="8"/>
      </top>
      <bottom style="thin">
        <color indexed="8"/>
      </bottom>
      <diagonal/>
    </border>
    <border>
      <left style="medium">
        <color rgb="FF000000"/>
      </left>
      <right style="thin">
        <color indexed="8"/>
      </right>
      <top style="thin">
        <color indexed="8"/>
      </top>
      <bottom style="medium">
        <color rgb="FF000000"/>
      </bottom>
      <diagonal/>
    </border>
    <border>
      <left style="thin">
        <color indexed="8"/>
      </left>
      <right style="thin">
        <color indexed="8"/>
      </right>
      <top style="thin">
        <color indexed="8"/>
      </top>
      <bottom style="medium">
        <color rgb="FF000000"/>
      </bottom>
      <diagonal/>
    </border>
    <border>
      <left style="thin">
        <color indexed="8"/>
      </left>
      <right style="medium">
        <color rgb="FF000000"/>
      </right>
      <top style="thin">
        <color indexed="8"/>
      </top>
      <bottom style="medium">
        <color rgb="FF000000"/>
      </bottom>
      <diagonal/>
    </border>
    <border>
      <left style="thin">
        <color indexed="64"/>
      </left>
      <right/>
      <top/>
      <bottom/>
      <diagonal/>
    </border>
    <border>
      <left style="medium">
        <color rgb="FF000000"/>
      </left>
      <right/>
      <top style="medium">
        <color rgb="FF000000"/>
      </top>
      <bottom style="medium">
        <color indexed="8"/>
      </bottom>
      <diagonal/>
    </border>
    <border>
      <left/>
      <right/>
      <top style="medium">
        <color rgb="FF000000"/>
      </top>
      <bottom style="medium">
        <color indexed="8"/>
      </bottom>
      <diagonal/>
    </border>
    <border>
      <left/>
      <right style="medium">
        <color rgb="FF000000"/>
      </right>
      <top style="medium">
        <color rgb="FF000000"/>
      </top>
      <bottom style="medium">
        <color indexed="8"/>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thin">
        <color indexed="8"/>
      </left>
      <right style="medium">
        <color rgb="FF000000"/>
      </right>
      <top style="medium">
        <color indexed="8"/>
      </top>
      <bottom style="thin">
        <color indexed="8"/>
      </bottom>
      <diagonal/>
    </border>
    <border>
      <left style="medium">
        <color rgb="FF000000"/>
      </left>
      <right style="thin">
        <color indexed="8"/>
      </right>
      <top style="thin">
        <color indexed="8"/>
      </top>
      <bottom/>
      <diagonal/>
    </border>
    <border>
      <left style="thin">
        <color indexed="8"/>
      </left>
      <right style="medium">
        <color rgb="FF000000"/>
      </right>
      <top style="thin">
        <color indexed="8"/>
      </top>
      <bottom/>
      <diagonal/>
    </border>
    <border>
      <left style="medium">
        <color rgb="FF000000"/>
      </left>
      <right style="thin">
        <color indexed="8"/>
      </right>
      <top style="thin">
        <color indexed="8"/>
      </top>
      <bottom style="medium">
        <color indexed="8"/>
      </bottom>
      <diagonal/>
    </border>
    <border>
      <left style="thin">
        <color indexed="8"/>
      </left>
      <right style="medium">
        <color rgb="FF000000"/>
      </right>
      <top style="thin">
        <color indexed="8"/>
      </top>
      <bottom style="medium">
        <color indexed="8"/>
      </bottom>
      <diagonal/>
    </border>
    <border>
      <left/>
      <right style="thin">
        <color indexed="64"/>
      </right>
      <top/>
      <bottom style="medium">
        <color indexed="8"/>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medium">
        <color rgb="FF000000"/>
      </left>
      <right style="thin">
        <color indexed="64"/>
      </right>
      <top/>
      <bottom/>
      <diagonal/>
    </border>
    <border>
      <left style="thin">
        <color indexed="64"/>
      </left>
      <right style="thin">
        <color indexed="64"/>
      </right>
      <top/>
      <bottom/>
      <diagonal/>
    </border>
    <border>
      <left style="thin">
        <color rgb="FF000000"/>
      </left>
      <right/>
      <top/>
      <bottom style="thin">
        <color indexed="64"/>
      </bottom>
      <diagonal/>
    </border>
    <border>
      <left/>
      <right style="thin">
        <color rgb="FF000000"/>
      </right>
      <top/>
      <bottom style="thin">
        <color indexed="64"/>
      </bottom>
      <diagonal/>
    </border>
    <border>
      <left/>
      <right style="thin">
        <color indexed="64"/>
      </right>
      <top/>
      <bottom/>
      <diagonal/>
    </border>
    <border>
      <left style="thin">
        <color indexed="64"/>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style="thin">
        <color rgb="FF000000"/>
      </bottom>
      <diagonal/>
    </border>
    <border>
      <left style="thin">
        <color indexed="64"/>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n">
        <color indexed="8"/>
      </left>
      <right style="medium">
        <color rgb="FF000000"/>
      </right>
      <top/>
      <bottom style="medium">
        <color rgb="FF000000"/>
      </bottom>
      <diagonal/>
    </border>
    <border>
      <left style="medium">
        <color rgb="FF000000"/>
      </left>
      <right/>
      <top style="thin">
        <color rgb="FF000000"/>
      </top>
      <bottom/>
      <diagonal/>
    </border>
    <border>
      <left style="thin">
        <color indexed="8"/>
      </left>
      <right style="medium">
        <color rgb="FF000000"/>
      </right>
      <top style="medium">
        <color indexed="8"/>
      </top>
      <bottom/>
      <diagonal/>
    </border>
    <border>
      <left style="medium">
        <color rgb="FF000000"/>
      </left>
      <right style="thin">
        <color rgb="FF000000"/>
      </right>
      <top/>
      <bottom/>
      <diagonal/>
    </border>
    <border>
      <left style="medium">
        <color rgb="FF000000"/>
      </left>
      <right style="medium">
        <color rgb="FF000000"/>
      </right>
      <top/>
      <bottom/>
      <diagonal/>
    </border>
    <border>
      <left style="medium">
        <color rgb="FF000000"/>
      </left>
      <right/>
      <top style="thin">
        <color rgb="FF000000"/>
      </top>
      <bottom style="thin">
        <color rgb="FF000000"/>
      </bottom>
      <diagonal/>
    </border>
    <border>
      <left style="thin">
        <color indexed="8"/>
      </left>
      <right style="medium">
        <color rgb="FF000000"/>
      </right>
      <top/>
      <bottom style="thin">
        <color rgb="FF000000"/>
      </bottom>
      <diagonal/>
    </border>
    <border>
      <left style="medium">
        <color rgb="FF000000"/>
      </left>
      <right/>
      <top/>
      <bottom style="medium">
        <color rgb="FF000000"/>
      </bottom>
      <diagonal/>
    </border>
    <border>
      <left style="medium">
        <color rgb="FF000000"/>
      </left>
      <right/>
      <top/>
      <bottom style="thin">
        <color rgb="FF000000"/>
      </bottom>
      <diagonal/>
    </border>
    <border>
      <left style="thin">
        <color indexed="8"/>
      </left>
      <right style="medium">
        <color rgb="FF000000"/>
      </right>
      <top style="thin">
        <color rgb="FF000000"/>
      </top>
      <bottom style="thin">
        <color rgb="FF000000"/>
      </bottom>
      <diagonal/>
    </border>
    <border>
      <left/>
      <right/>
      <top style="thin">
        <color theme="5"/>
      </top>
      <bottom/>
      <diagonal/>
    </border>
    <border>
      <left/>
      <right/>
      <top/>
      <bottom style="thin">
        <color theme="5"/>
      </bottom>
      <diagonal/>
    </border>
    <border>
      <left style="thin">
        <color theme="5"/>
      </left>
      <right/>
      <top style="thin">
        <color theme="5"/>
      </top>
      <bottom/>
      <diagonal/>
    </border>
    <border>
      <left/>
      <right style="thin">
        <color theme="5"/>
      </right>
      <top style="thin">
        <color theme="5"/>
      </top>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diagonal/>
    </border>
    <border>
      <left/>
      <right style="medium">
        <color rgb="FF000000"/>
      </right>
      <top style="thin">
        <color indexed="8"/>
      </top>
      <bottom style="thin">
        <color indexed="8"/>
      </bottom>
      <diagonal/>
    </border>
    <border>
      <left style="thin">
        <color indexed="64"/>
      </left>
      <right/>
      <top style="thin">
        <color indexed="64"/>
      </top>
      <bottom/>
      <diagonal/>
    </border>
    <border>
      <left/>
      <right/>
      <top style="medium">
        <color rgb="FF000000"/>
      </top>
      <bottom/>
      <diagonal/>
    </border>
    <border>
      <left/>
      <right/>
      <top style="thin">
        <color indexed="64"/>
      </top>
      <bottom/>
      <diagonal/>
    </border>
    <border>
      <left/>
      <right style="medium">
        <color rgb="FF000000"/>
      </right>
      <top style="medium">
        <color rgb="FF000000"/>
      </top>
      <bottom/>
      <diagonal/>
    </border>
    <border>
      <left/>
      <right style="medium">
        <color rgb="FF000000"/>
      </right>
      <top/>
      <bottom style="thin">
        <color indexed="8"/>
      </bottom>
      <diagonal/>
    </border>
    <border>
      <left/>
      <right style="thin">
        <color indexed="8"/>
      </right>
      <top style="thin">
        <color indexed="8"/>
      </top>
      <bottom style="medium">
        <color indexed="8"/>
      </bottom>
      <diagonal/>
    </border>
    <border>
      <left/>
      <right style="thin">
        <color indexed="8"/>
      </right>
      <top style="thin">
        <color indexed="8"/>
      </top>
      <bottom style="thin">
        <color indexed="8"/>
      </bottom>
      <diagonal/>
    </border>
    <border>
      <left style="medium">
        <color rgb="FF000000"/>
      </left>
      <right style="thin">
        <color indexed="8"/>
      </right>
      <top/>
      <bottom style="medium">
        <color rgb="FF000000"/>
      </bottom>
      <diagonal/>
    </border>
    <border>
      <left style="medium">
        <color rgb="FF000000"/>
      </left>
      <right/>
      <top style="medium">
        <color rgb="FF000000"/>
      </top>
      <bottom/>
      <diagonal/>
    </border>
    <border>
      <left style="medium">
        <color rgb="FF7030A0"/>
      </left>
      <right/>
      <top style="medium">
        <color rgb="FF7030A0"/>
      </top>
      <bottom/>
      <diagonal/>
    </border>
    <border>
      <left/>
      <right/>
      <top style="medium">
        <color rgb="FF7030A0"/>
      </top>
      <bottom/>
      <diagonal/>
    </border>
    <border>
      <left/>
      <right style="medium">
        <color rgb="FF7030A0"/>
      </right>
      <top style="medium">
        <color rgb="FF7030A0"/>
      </top>
      <bottom/>
      <diagonal/>
    </border>
    <border>
      <left style="medium">
        <color rgb="FF7030A0"/>
      </left>
      <right style="medium">
        <color rgb="FF3F3F3F"/>
      </right>
      <top style="medium">
        <color rgb="FF7030A0"/>
      </top>
      <bottom style="medium">
        <color rgb="FF3F3F3F"/>
      </bottom>
      <diagonal/>
    </border>
    <border>
      <left/>
      <right style="medium">
        <color rgb="FF7030A0"/>
      </right>
      <top style="medium">
        <color rgb="FF7030A0"/>
      </top>
      <bottom style="medium">
        <color rgb="FF7F7F7F"/>
      </bottom>
      <diagonal/>
    </border>
    <border>
      <left/>
      <right/>
      <top style="medium">
        <color rgb="FF7030A0"/>
      </top>
      <bottom style="medium">
        <color rgb="FF7F7F7F"/>
      </bottom>
      <diagonal/>
    </border>
    <border>
      <left style="medium">
        <color rgb="FF7030A0"/>
      </left>
      <right style="medium">
        <color rgb="FF3F3F3F"/>
      </right>
      <top/>
      <bottom style="medium">
        <color rgb="FF3F3F3F"/>
      </bottom>
      <diagonal/>
    </border>
    <border>
      <left/>
      <right style="medium">
        <color rgb="FF7030A0"/>
      </right>
      <top/>
      <bottom style="medium">
        <color rgb="FF7F7F7F"/>
      </bottom>
      <diagonal/>
    </border>
    <border>
      <left/>
      <right/>
      <top/>
      <bottom style="medium">
        <color rgb="FF7F7F7F"/>
      </bottom>
      <diagonal/>
    </border>
    <border>
      <left style="medium">
        <color rgb="FF7030A0"/>
      </left>
      <right/>
      <top/>
      <bottom/>
      <diagonal/>
    </border>
    <border>
      <left style="medium">
        <color rgb="FF7030A0"/>
      </left>
      <right style="medium">
        <color rgb="FF3F3F3F"/>
      </right>
      <top style="medium">
        <color rgb="FF3F3F3F"/>
      </top>
      <bottom style="medium">
        <color rgb="FF3F3F3F"/>
      </bottom>
      <diagonal/>
    </border>
    <border>
      <left style="medium">
        <color rgb="FF7030A0"/>
      </left>
      <right/>
      <top/>
      <bottom style="medium">
        <color rgb="FF3F3F3F"/>
      </bottom>
      <diagonal/>
    </border>
    <border>
      <left/>
      <right style="medium">
        <color rgb="FF7F7F7F"/>
      </right>
      <top/>
      <bottom style="medium">
        <color rgb="FF7F7F7F"/>
      </bottom>
      <diagonal/>
    </border>
    <border>
      <left style="medium">
        <color rgb="FF7030A0"/>
      </left>
      <right style="medium">
        <color rgb="FF3F3F3F"/>
      </right>
      <top/>
      <bottom style="medium">
        <color rgb="FF7030A0"/>
      </bottom>
      <diagonal/>
    </border>
    <border>
      <left/>
      <right style="medium">
        <color rgb="FF7030A0"/>
      </right>
      <top/>
      <bottom style="medium">
        <color rgb="FF7030A0"/>
      </bottom>
      <diagonal/>
    </border>
    <border>
      <left/>
      <right/>
      <top/>
      <bottom style="medium">
        <color rgb="FF7030A0"/>
      </bottom>
      <diagonal/>
    </border>
    <border>
      <left/>
      <right style="medium">
        <color rgb="FF7030A0"/>
      </right>
      <top/>
      <bottom/>
      <diagonal/>
    </border>
    <border>
      <left style="medium">
        <color rgb="FF7030A0"/>
      </left>
      <right/>
      <top/>
      <bottom style="medium">
        <color rgb="FF7030A0"/>
      </bottom>
      <diagonal/>
    </border>
    <border>
      <left/>
      <right/>
      <top style="thin">
        <color rgb="FF000000"/>
      </top>
      <bottom style="thin">
        <color rgb="FF000000"/>
      </bottom>
      <diagonal/>
    </border>
    <border>
      <left style="medium">
        <color rgb="FF000000"/>
      </left>
      <right style="thin">
        <color indexed="64"/>
      </right>
      <top style="thin">
        <color indexed="64"/>
      </top>
      <bottom/>
      <diagonal/>
    </border>
    <border>
      <left style="medium">
        <color rgb="FF000000"/>
      </left>
      <right style="thin">
        <color indexed="64"/>
      </right>
      <top style="thin">
        <color indexed="64"/>
      </top>
      <bottom style="thin">
        <color indexed="8"/>
      </bottom>
      <diagonal/>
    </border>
    <border>
      <left style="thin">
        <color rgb="FFEA157A"/>
      </left>
      <right/>
      <top/>
      <bottom/>
      <diagonal/>
    </border>
    <border>
      <left/>
      <right/>
      <top style="thin">
        <color rgb="FFEA157A"/>
      </top>
      <bottom/>
      <diagonal/>
    </border>
    <border>
      <left/>
      <right/>
      <top/>
      <bottom style="thin">
        <color rgb="FFEA157A"/>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indexed="64"/>
      </top>
      <bottom style="medium">
        <color rgb="FF000000"/>
      </bottom>
      <diagonal/>
    </border>
    <border>
      <left style="thin">
        <color rgb="FF000000"/>
      </left>
      <right style="medium">
        <color rgb="FF000000"/>
      </right>
      <top style="thin">
        <color indexed="64"/>
      </top>
      <bottom style="medium">
        <color rgb="FF000000"/>
      </bottom>
      <diagonal/>
    </border>
    <border>
      <left/>
      <right style="thin">
        <color rgb="FF000000"/>
      </right>
      <top style="thin">
        <color indexed="64"/>
      </top>
      <bottom style="medium">
        <color indexed="64"/>
      </bottom>
      <diagonal/>
    </border>
    <border>
      <left style="thin">
        <color indexed="64"/>
      </left>
      <right style="thin">
        <color indexed="64"/>
      </right>
      <top style="medium">
        <color indexed="8"/>
      </top>
      <bottom style="thin">
        <color rgb="FF000000"/>
      </bottom>
      <diagonal/>
    </border>
    <border>
      <left style="thin">
        <color indexed="64"/>
      </left>
      <right/>
      <top style="thin">
        <color rgb="FF000000"/>
      </top>
      <bottom style="thin">
        <color rgb="FF000000"/>
      </bottom>
      <diagonal/>
    </border>
    <border>
      <left style="thin">
        <color indexed="64"/>
      </left>
      <right/>
      <top style="thin">
        <color rgb="FF000000"/>
      </top>
      <bottom/>
      <diagonal/>
    </border>
    <border>
      <left style="thin">
        <color indexed="64"/>
      </left>
      <right style="thin">
        <color indexed="64"/>
      </right>
      <top style="thin">
        <color indexed="64"/>
      </top>
      <bottom style="medium">
        <color indexed="64"/>
      </bottom>
      <diagonal/>
    </border>
    <border>
      <left style="thin">
        <color indexed="8"/>
      </left>
      <right style="medium">
        <color rgb="FF000000"/>
      </right>
      <top/>
      <bottom/>
      <diagonal/>
    </border>
    <border>
      <left/>
      <right style="thin">
        <color rgb="FF000000"/>
      </right>
      <top style="medium">
        <color indexed="8"/>
      </top>
      <bottom style="thin">
        <color indexed="8"/>
      </bottom>
      <diagonal/>
    </border>
    <border>
      <left style="thin">
        <color rgb="FF000000"/>
      </left>
      <right style="thin">
        <color rgb="FF000000"/>
      </right>
      <top style="medium">
        <color indexed="8"/>
      </top>
      <bottom style="thin">
        <color indexed="8"/>
      </bottom>
      <diagonal/>
    </border>
    <border>
      <left style="medium">
        <color rgb="FF000000"/>
      </left>
      <right style="thin">
        <color indexed="8"/>
      </right>
      <top style="thin">
        <color indexed="8"/>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8"/>
      </left>
      <right style="thin">
        <color indexed="8"/>
      </right>
      <top style="medium">
        <color indexed="8"/>
      </top>
      <bottom/>
      <diagonal/>
    </border>
    <border>
      <left style="thin">
        <color indexed="8"/>
      </left>
      <right style="thin">
        <color indexed="8"/>
      </right>
      <top style="thin">
        <color rgb="FF000000"/>
      </top>
      <bottom style="thin">
        <color rgb="FF000000"/>
      </bottom>
      <diagonal/>
    </border>
    <border>
      <left style="thin">
        <color indexed="8"/>
      </left>
      <right style="thin">
        <color indexed="8"/>
      </right>
      <top/>
      <bottom style="thin">
        <color rgb="FF000000"/>
      </bottom>
      <diagonal/>
    </border>
    <border>
      <left style="medium">
        <color rgb="FF7030A0"/>
      </left>
      <right style="medium">
        <color rgb="FF7030A0"/>
      </right>
      <top style="medium">
        <color rgb="FF7030A0"/>
      </top>
      <bottom/>
      <diagonal/>
    </border>
    <border>
      <left style="medium">
        <color rgb="FF7030A0"/>
      </left>
      <right style="medium">
        <color rgb="FF7030A0"/>
      </right>
      <top/>
      <bottom/>
      <diagonal/>
    </border>
    <border>
      <left style="medium">
        <color rgb="FF7030A0"/>
      </left>
      <right style="medium">
        <color rgb="FF7030A0"/>
      </right>
      <top/>
      <bottom style="medium">
        <color rgb="FF7030A0"/>
      </bottom>
      <diagonal/>
    </border>
    <border>
      <left style="medium">
        <color rgb="FF000000"/>
      </left>
      <right style="medium">
        <color rgb="FF000000"/>
      </right>
      <top style="medium">
        <color rgb="FF000000"/>
      </top>
      <bottom style="medium">
        <color indexed="8"/>
      </bottom>
      <diagonal/>
    </border>
    <border>
      <left style="medium">
        <color rgb="FF000000"/>
      </left>
      <right/>
      <top/>
      <bottom/>
      <diagonal/>
    </border>
    <border>
      <left style="thin">
        <color rgb="FF000000"/>
      </left>
      <right style="thin">
        <color rgb="FF000000"/>
      </right>
      <top/>
      <bottom style="thin">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s>
  <cellStyleXfs count="20">
    <xf numFmtId="0" fontId="0" fillId="0" borderId="0"/>
    <xf numFmtId="0" fontId="2" fillId="0" borderId="0"/>
    <xf numFmtId="0" fontId="6" fillId="0" borderId="0"/>
    <xf numFmtId="0" fontId="15" fillId="0" borderId="0"/>
    <xf numFmtId="0" fontId="18" fillId="0" borderId="0"/>
    <xf numFmtId="164" fontId="19" fillId="0" borderId="0"/>
    <xf numFmtId="164" fontId="17" fillId="0" borderId="0"/>
    <xf numFmtId="0" fontId="20" fillId="0" borderId="0" applyAlignment="1">
      <alignment horizontal="center"/>
    </xf>
    <xf numFmtId="0" fontId="20" fillId="0" borderId="0" applyAlignment="1">
      <alignment horizontal="center" textRotation="90"/>
    </xf>
    <xf numFmtId="0" fontId="21" fillId="0" borderId="0"/>
    <xf numFmtId="165" fontId="21" fillId="0" borderId="0"/>
    <xf numFmtId="0" fontId="15" fillId="0" borderId="0"/>
    <xf numFmtId="164" fontId="17" fillId="0" borderId="0"/>
    <xf numFmtId="0" fontId="18" fillId="0" borderId="0"/>
    <xf numFmtId="0" fontId="18" fillId="0" borderId="0"/>
    <xf numFmtId="164" fontId="17" fillId="0" borderId="0"/>
    <xf numFmtId="0" fontId="18" fillId="0" borderId="0"/>
    <xf numFmtId="164" fontId="17" fillId="0" borderId="0"/>
    <xf numFmtId="0" fontId="18" fillId="0" borderId="0"/>
    <xf numFmtId="164" fontId="17" fillId="0" borderId="0"/>
  </cellStyleXfs>
  <cellXfs count="436">
    <xf numFmtId="0" fontId="0" fillId="0" borderId="0" pivotButton="0" quotePrefix="0" xfId="0"/>
    <xf numFmtId="0" fontId="35" fillId="13" borderId="13" applyAlignment="1" pivotButton="0" quotePrefix="0" xfId="0">
      <alignment wrapText="1"/>
    </xf>
    <xf numFmtId="0" fontId="17" fillId="0" borderId="7" pivotButton="0" quotePrefix="0" xfId="0"/>
    <xf numFmtId="0" fontId="17" fillId="0" borderId="0" pivotButton="0" quotePrefix="0" xfId="0"/>
    <xf numFmtId="15" fontId="17" fillId="0" borderId="0" pivotButton="0" quotePrefix="0" xfId="0"/>
    <xf numFmtId="15" fontId="17" fillId="0" borderId="7" pivotButton="0" quotePrefix="0" xfId="0"/>
    <xf numFmtId="0" fontId="35" fillId="13" borderId="16" applyAlignment="1" pivotButton="0" quotePrefix="0" xfId="0">
      <alignment wrapText="1"/>
    </xf>
    <xf numFmtId="9" fontId="0" fillId="0" borderId="0" pivotButton="0" quotePrefix="0" xfId="0"/>
    <xf numFmtId="0" fontId="56" fillId="20" borderId="95" applyAlignment="1" pivotButton="0" quotePrefix="0" xfId="0">
      <alignment wrapText="1"/>
    </xf>
    <xf numFmtId="0" fontId="56" fillId="20" borderId="98" applyAlignment="1" pivotButton="0" quotePrefix="0" xfId="0">
      <alignment wrapText="1"/>
    </xf>
    <xf numFmtId="0" fontId="57" fillId="5" borderId="99" applyAlignment="1" pivotButton="0" quotePrefix="0" xfId="0">
      <alignment wrapText="1"/>
    </xf>
    <xf numFmtId="0" fontId="58" fillId="16" borderId="101" applyAlignment="1" pivotButton="0" quotePrefix="0" xfId="0">
      <alignment wrapText="1"/>
    </xf>
    <xf numFmtId="0" fontId="56" fillId="20" borderId="102" applyAlignment="1" pivotButton="0" quotePrefix="0" xfId="0">
      <alignment wrapText="1"/>
    </xf>
    <xf numFmtId="0" fontId="58" fillId="16" borderId="103" applyAlignment="1" pivotButton="0" quotePrefix="0" xfId="0">
      <alignment wrapText="1"/>
    </xf>
    <xf numFmtId="0" fontId="57" fillId="5" borderId="104" applyAlignment="1" pivotButton="0" quotePrefix="0" xfId="0">
      <alignment wrapText="1"/>
    </xf>
    <xf numFmtId="0" fontId="56" fillId="20" borderId="105" applyAlignment="1" pivotButton="0" quotePrefix="0" xfId="0">
      <alignment wrapText="1"/>
    </xf>
    <xf numFmtId="0" fontId="59" fillId="16" borderId="101" applyAlignment="1" pivotButton="0" quotePrefix="0" xfId="0">
      <alignment wrapText="1"/>
    </xf>
    <xf numFmtId="0" fontId="58" fillId="5" borderId="101" applyAlignment="1" pivotButton="0" quotePrefix="0" xfId="0">
      <alignment wrapText="1"/>
    </xf>
    <xf numFmtId="0" fontId="4" fillId="0" borderId="0" applyProtection="1" pivotButton="0" quotePrefix="0" xfId="1">
      <protection locked="0" hidden="0"/>
    </xf>
    <xf numFmtId="0" fontId="42" fillId="0" borderId="0" applyProtection="1" pivotButton="0" quotePrefix="0" xfId="1">
      <protection locked="0" hidden="0"/>
    </xf>
    <xf numFmtId="0" fontId="43" fillId="0" borderId="0" applyProtection="1" pivotButton="0" quotePrefix="0" xfId="1">
      <protection locked="0" hidden="0"/>
    </xf>
    <xf numFmtId="0" fontId="30" fillId="0" borderId="0" applyProtection="1" pivotButton="0" quotePrefix="0" xfId="1">
      <protection locked="0" hidden="0"/>
    </xf>
    <xf numFmtId="0" fontId="4" fillId="0" borderId="0" applyAlignment="1" applyProtection="1" pivotButton="0" quotePrefix="0" xfId="1">
      <alignment horizontal="center"/>
      <protection locked="0" hidden="0"/>
    </xf>
    <xf numFmtId="0" fontId="4" fillId="0" borderId="0" pivotButton="0" quotePrefix="0" xfId="1"/>
    <xf numFmtId="0" fontId="13" fillId="0" borderId="0" applyAlignment="1" pivotButton="0" quotePrefix="0" xfId="1">
      <alignment vertical="top"/>
    </xf>
    <xf numFmtId="0" fontId="4" fillId="0" borderId="0" applyProtection="1" pivotButton="0" quotePrefix="0" xfId="1">
      <protection locked="1" hidden="1"/>
    </xf>
    <xf numFmtId="0" fontId="35" fillId="13" borderId="13" applyAlignment="1" applyProtection="1" pivotButton="0" quotePrefix="0" xfId="0">
      <alignment wrapText="1"/>
      <protection locked="1" hidden="1"/>
    </xf>
    <xf numFmtId="0" fontId="11" fillId="0" borderId="0" applyProtection="1" pivotButton="0" quotePrefix="0" xfId="1">
      <protection locked="0" hidden="0"/>
    </xf>
    <xf numFmtId="0" fontId="24" fillId="0" borderId="0" applyProtection="1" pivotButton="0" quotePrefix="0" xfId="1">
      <protection locked="0" hidden="0"/>
    </xf>
    <xf numFmtId="0" fontId="2" fillId="0" borderId="0" applyProtection="1" pivotButton="0" quotePrefix="0" xfId="1">
      <protection locked="0" hidden="0"/>
    </xf>
    <xf numFmtId="0" fontId="0" fillId="0" borderId="0" applyProtection="1" pivotButton="0" quotePrefix="0" xfId="0">
      <protection locked="0" hidden="0"/>
    </xf>
    <xf numFmtId="0" fontId="26" fillId="0" borderId="7" applyAlignment="1" applyProtection="1" pivotButton="0" quotePrefix="0" xfId="1">
      <alignment horizontal="left" vertical="top" wrapText="1"/>
      <protection locked="0" hidden="0"/>
    </xf>
    <xf numFmtId="0" fontId="26" fillId="0" borderId="19" applyAlignment="1" applyProtection="1" pivotButton="0" quotePrefix="0" xfId="1">
      <alignment horizontal="left" vertical="top" wrapText="1"/>
      <protection locked="0" hidden="0"/>
    </xf>
    <xf numFmtId="0" fontId="10" fillId="0" borderId="39" applyProtection="1" pivotButton="0" quotePrefix="0" xfId="0">
      <protection locked="0" hidden="0"/>
    </xf>
    <xf numFmtId="0" fontId="10" fillId="0" borderId="29" applyProtection="1" pivotButton="0" quotePrefix="0" xfId="0">
      <protection locked="0" hidden="0"/>
    </xf>
    <xf numFmtId="0" fontId="10" fillId="0" borderId="28" applyProtection="1" pivotButton="0" quotePrefix="0" xfId="0">
      <protection locked="0" hidden="0"/>
    </xf>
    <xf numFmtId="0" fontId="10" fillId="0" borderId="27" applyProtection="1" pivotButton="0" quotePrefix="0" xfId="0">
      <protection locked="0" hidden="0"/>
    </xf>
    <xf numFmtId="0" fontId="10" fillId="0" borderId="1" applyProtection="1" pivotButton="0" quotePrefix="0" xfId="0">
      <protection locked="0" hidden="0"/>
    </xf>
    <xf numFmtId="0" fontId="10" fillId="0" borderId="41" applyProtection="1" pivotButton="0" quotePrefix="0" xfId="0">
      <protection locked="0" hidden="0"/>
    </xf>
    <xf numFmtId="0" fontId="10" fillId="0" borderId="6" applyProtection="1" pivotButton="0" quotePrefix="0" xfId="0">
      <protection locked="0" hidden="0"/>
    </xf>
    <xf numFmtId="0" fontId="10" fillId="0" borderId="42" applyProtection="1" pivotButton="0" quotePrefix="0" xfId="0">
      <protection locked="0" hidden="0"/>
    </xf>
    <xf numFmtId="0" fontId="16" fillId="0" borderId="27" applyProtection="1" pivotButton="0" quotePrefix="0" xfId="1">
      <protection locked="0" hidden="0"/>
    </xf>
    <xf numFmtId="0" fontId="10" fillId="0" borderId="1" applyProtection="1" pivotButton="0" quotePrefix="0" xfId="1">
      <protection locked="0" hidden="0"/>
    </xf>
    <xf numFmtId="0" fontId="10" fillId="0" borderId="40" applyProtection="1" pivotButton="0" quotePrefix="0" xfId="0">
      <protection locked="0" hidden="0"/>
    </xf>
    <xf numFmtId="0" fontId="26" fillId="0" borderId="21" applyAlignment="1" applyProtection="1" pivotButton="0" quotePrefix="0" xfId="1">
      <alignment horizontal="left" vertical="top" wrapText="1"/>
      <protection locked="0" hidden="0"/>
    </xf>
    <xf numFmtId="0" fontId="2" fillId="0" borderId="25" applyProtection="1" pivotButton="0" quotePrefix="0" xfId="1">
      <protection locked="0" hidden="0"/>
    </xf>
    <xf numFmtId="0" fontId="4" fillId="0" borderId="27" applyAlignment="1" applyProtection="1" pivotButton="0" quotePrefix="0" xfId="1">
      <alignment horizontal="left" vertical="top" wrapText="1"/>
      <protection locked="0" hidden="0"/>
    </xf>
    <xf numFmtId="0" fontId="4" fillId="0" borderId="1" applyAlignment="1" applyProtection="1" pivotButton="0" quotePrefix="0" xfId="1">
      <alignment horizontal="left" vertical="top" wrapText="1"/>
      <protection locked="0" hidden="0"/>
    </xf>
    <xf numFmtId="0" fontId="2" fillId="0" borderId="1" applyProtection="1" pivotButton="0" quotePrefix="0" xfId="1">
      <protection locked="0" hidden="0"/>
    </xf>
    <xf numFmtId="0" fontId="2" fillId="0" borderId="28" applyProtection="1" pivotButton="0" quotePrefix="0" xfId="1">
      <protection locked="0" hidden="0"/>
    </xf>
    <xf numFmtId="0" fontId="4" fillId="0" borderId="29" applyAlignment="1" applyProtection="1" pivotButton="0" quotePrefix="0" xfId="1">
      <alignment horizontal="left" vertical="top" wrapText="1"/>
      <protection locked="0" hidden="0"/>
    </xf>
    <xf numFmtId="0" fontId="4" fillId="0" borderId="30" applyAlignment="1" applyProtection="1" pivotButton="0" quotePrefix="0" xfId="1">
      <alignment horizontal="left" vertical="top" wrapText="1"/>
      <protection locked="0" hidden="0"/>
    </xf>
    <xf numFmtId="0" fontId="4" fillId="0" borderId="31" applyAlignment="1" applyProtection="1" pivotButton="0" quotePrefix="0" xfId="1">
      <alignment horizontal="left" vertical="top" wrapText="1"/>
      <protection locked="0" hidden="0"/>
    </xf>
    <xf numFmtId="0" fontId="4" fillId="0" borderId="38" applyAlignment="1" applyProtection="1" pivotButton="0" quotePrefix="0" xfId="1">
      <alignment horizontal="left" vertical="top" wrapText="1"/>
      <protection locked="0" hidden="0"/>
    </xf>
    <xf numFmtId="0" fontId="4" fillId="0" borderId="28" applyAlignment="1" applyProtection="1" pivotButton="0" quotePrefix="0" xfId="1">
      <alignment horizontal="left" vertical="top" wrapText="1"/>
      <protection locked="0" hidden="0"/>
    </xf>
    <xf numFmtId="0" fontId="4" fillId="0" borderId="6" applyAlignment="1" applyProtection="1" pivotButton="0" quotePrefix="0" xfId="1">
      <alignment horizontal="left" vertical="top" wrapText="1"/>
      <protection locked="0" hidden="0"/>
    </xf>
    <xf numFmtId="0" fontId="4" fillId="0" borderId="40" applyAlignment="1" applyProtection="1" pivotButton="0" quotePrefix="0" xfId="1">
      <alignment horizontal="left" vertical="top" wrapText="1"/>
      <protection locked="0" hidden="0"/>
    </xf>
    <xf numFmtId="0" fontId="28" fillId="0" borderId="0" applyProtection="1" pivotButton="0" quotePrefix="0" xfId="1">
      <protection locked="0" hidden="0"/>
    </xf>
    <xf numFmtId="0" fontId="26" fillId="0" borderId="26" applyAlignment="1" applyProtection="1" pivotButton="0" quotePrefix="0" xfId="1">
      <alignment horizontal="left" vertical="top" wrapText="1"/>
      <protection locked="0" hidden="0"/>
    </xf>
    <xf numFmtId="0" fontId="26" fillId="16" borderId="89" applyAlignment="1" applyProtection="1" pivotButton="0" quotePrefix="0" xfId="1">
      <alignment horizontal="left" vertical="top" wrapText="1"/>
      <protection locked="0" hidden="0"/>
    </xf>
    <xf numFmtId="0" fontId="26" fillId="16" borderId="1" applyAlignment="1" applyProtection="1" pivotButton="0" quotePrefix="0" xfId="1">
      <alignment horizontal="left" vertical="top" wrapText="1"/>
      <protection locked="0" hidden="0"/>
    </xf>
    <xf numFmtId="0" fontId="26" fillId="16" borderId="1" applyAlignment="1" applyProtection="1" pivotButton="0" quotePrefix="0" xfId="1">
      <alignment horizontal="justify" vertical="center"/>
      <protection locked="0" hidden="0"/>
    </xf>
    <xf numFmtId="0" fontId="26" fillId="0" borderId="90" applyAlignment="1" applyProtection="1" pivotButton="0" quotePrefix="0" xfId="1">
      <alignment horizontal="left" vertical="top" wrapText="1"/>
      <protection locked="0" hidden="0"/>
    </xf>
    <xf numFmtId="0" fontId="26" fillId="16" borderId="88" applyAlignment="1" applyProtection="1" pivotButton="0" quotePrefix="0" xfId="1">
      <alignment horizontal="left" vertical="top" wrapText="1"/>
      <protection locked="0" hidden="0"/>
    </xf>
    <xf numFmtId="0" fontId="26" fillId="16" borderId="4" applyAlignment="1" applyProtection="1" pivotButton="0" quotePrefix="0" xfId="1">
      <alignment horizontal="left" vertical="top" wrapText="1"/>
      <protection locked="0" hidden="0"/>
    </xf>
    <xf numFmtId="0" fontId="26" fillId="16" borderId="4" applyAlignment="1" applyProtection="1" pivotButton="0" quotePrefix="0" xfId="1">
      <alignment horizontal="justify" vertical="center"/>
      <protection locked="0" hidden="0"/>
    </xf>
    <xf numFmtId="0" fontId="26" fillId="0" borderId="29" applyAlignment="1" applyProtection="1" pivotButton="0" quotePrefix="0" xfId="1">
      <alignment horizontal="left" vertical="top" wrapText="1"/>
      <protection locked="0" hidden="0"/>
    </xf>
    <xf numFmtId="0" fontId="26" fillId="0" borderId="30" applyAlignment="1" applyProtection="1" pivotButton="0" quotePrefix="0" xfId="1">
      <alignment horizontal="left" vertical="top" wrapText="1"/>
      <protection locked="0" hidden="0"/>
    </xf>
    <xf numFmtId="0" fontId="26" fillId="0" borderId="88" applyAlignment="1" applyProtection="1" pivotButton="0" quotePrefix="0" xfId="1">
      <alignment horizontal="left" vertical="top" wrapText="1"/>
      <protection locked="0" hidden="0"/>
    </xf>
    <xf numFmtId="0" fontId="50" fillId="0" borderId="0" applyProtection="1" pivotButton="0" quotePrefix="0" xfId="1">
      <protection locked="0" hidden="0"/>
    </xf>
    <xf numFmtId="0" fontId="2" fillId="0" borderId="0" applyAlignment="1" applyProtection="1" pivotButton="0" quotePrefix="0" xfId="1">
      <alignment wrapText="1"/>
      <protection locked="0" hidden="0"/>
    </xf>
    <xf numFmtId="0" fontId="0" fillId="0" borderId="30" applyProtection="1" pivotButton="0" quotePrefix="0" xfId="0">
      <protection locked="0" hidden="0"/>
    </xf>
    <xf numFmtId="1" fontId="0" fillId="0" borderId="30" applyProtection="1" pivotButton="0" quotePrefix="0" xfId="0">
      <protection locked="0" hidden="0"/>
    </xf>
    <xf numFmtId="0" fontId="4" fillId="0" borderId="68" applyAlignment="1" applyProtection="1" pivotButton="0" quotePrefix="0" xfId="1">
      <alignment horizontal="left" vertical="top" wrapText="1"/>
      <protection locked="0" hidden="0"/>
    </xf>
    <xf numFmtId="0" fontId="4" fillId="0" borderId="75" applyAlignment="1" applyProtection="1" pivotButton="0" quotePrefix="0" xfId="1">
      <alignment horizontal="left" vertical="top" wrapText="1"/>
      <protection locked="0" hidden="0"/>
    </xf>
    <xf numFmtId="0" fontId="4" fillId="0" borderId="72" applyAlignment="1" applyProtection="1" pivotButton="0" quotePrefix="0" xfId="1">
      <alignment horizontal="left" vertical="top" wrapText="1"/>
      <protection locked="0" hidden="0"/>
    </xf>
    <xf numFmtId="0" fontId="4" fillId="0" borderId="66" applyAlignment="1" applyProtection="1" pivotButton="0" quotePrefix="0" xfId="1">
      <alignment horizontal="left" vertical="top" wrapText="1"/>
      <protection locked="0" hidden="0"/>
    </xf>
    <xf numFmtId="0" fontId="16" fillId="0" borderId="0" applyProtection="1" pivotButton="0" quotePrefix="0" xfId="1">
      <protection locked="0" hidden="0"/>
    </xf>
    <xf numFmtId="0" fontId="32" fillId="0" borderId="0" applyProtection="1" pivotButton="0" quotePrefix="0" xfId="1">
      <protection locked="0" hidden="0"/>
    </xf>
    <xf numFmtId="0" fontId="35" fillId="13" borderId="36" applyAlignment="1" pivotButton="0" quotePrefix="0" xfId="0">
      <alignment wrapText="1"/>
    </xf>
    <xf numFmtId="0" fontId="45" fillId="15" borderId="74" applyAlignment="1" pivotButton="0" quotePrefix="0" xfId="0">
      <alignment wrapText="1"/>
    </xf>
    <xf numFmtId="0" fontId="35" fillId="13" borderId="83" applyAlignment="1" pivotButton="0" quotePrefix="0" xfId="0">
      <alignment wrapText="1"/>
    </xf>
    <xf numFmtId="0" fontId="35" fillId="13" borderId="7" applyAlignment="1" pivotButton="0" quotePrefix="0" xfId="0">
      <alignment wrapText="1"/>
    </xf>
    <xf numFmtId="0" fontId="35" fillId="13" borderId="37" applyAlignment="1" pivotButton="0" quotePrefix="0" xfId="0">
      <alignment wrapText="1"/>
    </xf>
    <xf numFmtId="0" fontId="35" fillId="13" borderId="85" applyAlignment="1" pivotButton="0" quotePrefix="0" xfId="0">
      <alignment wrapText="1"/>
    </xf>
    <xf numFmtId="0" fontId="10" fillId="0" borderId="0" pivotButton="0" quotePrefix="0" xfId="0"/>
    <xf numFmtId="0" fontId="2" fillId="0" borderId="0" pivotButton="0" quotePrefix="0" xfId="1"/>
    <xf numFmtId="0" fontId="35" fillId="13" borderId="81" applyAlignment="1" pivotButton="0" quotePrefix="0" xfId="0">
      <alignment wrapText="1"/>
    </xf>
    <xf numFmtId="0" fontId="51" fillId="15" borderId="74" applyAlignment="1" pivotButton="0" quotePrefix="0" xfId="0">
      <alignment wrapText="1"/>
    </xf>
    <xf numFmtId="0" fontId="10" fillId="0" borderId="80" pivotButton="0" quotePrefix="0" xfId="0"/>
    <xf numFmtId="0" fontId="49" fillId="0" borderId="0" applyProtection="1" pivotButton="0" quotePrefix="1" xfId="0">
      <protection locked="1" hidden="1"/>
    </xf>
    <xf numFmtId="0" fontId="2" fillId="0" borderId="0" applyProtection="1" pivotButton="0" quotePrefix="0" xfId="1">
      <protection locked="1" hidden="1"/>
    </xf>
    <xf numFmtId="0" fontId="13" fillId="0" borderId="0" pivotButton="0" quotePrefix="0" xfId="1"/>
    <xf numFmtId="0" fontId="24" fillId="0" borderId="0" pivotButton="0" quotePrefix="0" xfId="1"/>
    <xf numFmtId="0" fontId="11" fillId="0" borderId="0" pivotButton="0" quotePrefix="0" xfId="1"/>
    <xf numFmtId="0" fontId="35" fillId="13" borderId="111" applyAlignment="1" pivotButton="0" quotePrefix="0" xfId="0">
      <alignment wrapText="1"/>
    </xf>
    <xf numFmtId="0" fontId="4" fillId="0" borderId="0" applyAlignment="1" pivotButton="0" quotePrefix="0" xfId="1">
      <alignment horizontal="left" vertical="top" wrapText="1"/>
    </xf>
    <xf numFmtId="0" fontId="22" fillId="0" borderId="0" applyAlignment="1" pivotButton="0" quotePrefix="0" xfId="1">
      <alignment vertical="top"/>
    </xf>
    <xf numFmtId="0" fontId="25" fillId="0" borderId="0" applyAlignment="1" pivotButton="0" quotePrefix="0" xfId="1">
      <alignment vertical="top"/>
    </xf>
    <xf numFmtId="0" fontId="12" fillId="0" borderId="0" applyAlignment="1" pivotButton="0" quotePrefix="0" xfId="1">
      <alignment vertical="top"/>
    </xf>
    <xf numFmtId="0" fontId="23" fillId="0" borderId="0" pivotButton="0" quotePrefix="0" xfId="1"/>
    <xf numFmtId="0" fontId="28" fillId="0" borderId="0" pivotButton="0" quotePrefix="0" xfId="1"/>
    <xf numFmtId="0" fontId="3" fillId="0" borderId="0" applyAlignment="1" pivotButton="0" quotePrefix="0" xfId="1">
      <alignment vertical="top"/>
    </xf>
    <xf numFmtId="0" fontId="27" fillId="0" borderId="0" applyAlignment="1" pivotButton="0" quotePrefix="0" xfId="1">
      <alignment vertical="top" wrapText="1"/>
    </xf>
    <xf numFmtId="0" fontId="3" fillId="0" borderId="0" applyAlignment="1" pivotButton="0" quotePrefix="0" xfId="1">
      <alignment vertical="top" wrapText="1"/>
    </xf>
    <xf numFmtId="0" fontId="14" fillId="0" borderId="0" pivotButton="0" quotePrefix="0" xfId="1"/>
    <xf numFmtId="0" fontId="10" fillId="0" borderId="0" applyAlignment="1" pivotButton="0" quotePrefix="0" xfId="1">
      <alignment vertical="top"/>
    </xf>
    <xf numFmtId="0" fontId="35" fillId="13" borderId="44" applyAlignment="1" pivotButton="0" quotePrefix="0" xfId="0">
      <alignment wrapText="1"/>
    </xf>
    <xf numFmtId="0" fontId="35" fillId="13" borderId="45" applyAlignment="1" pivotButton="0" quotePrefix="0" xfId="0">
      <alignment wrapText="1"/>
    </xf>
    <xf numFmtId="0" fontId="8" fillId="0" borderId="0" applyAlignment="1" pivotButton="0" quotePrefix="0" xfId="1">
      <alignment horizontal="justify" vertical="top" wrapText="1"/>
    </xf>
    <xf numFmtId="0" fontId="29" fillId="0" borderId="0" applyAlignment="1" pivotButton="0" quotePrefix="0" xfId="1">
      <alignment horizontal="justify" vertical="top" wrapText="1"/>
    </xf>
    <xf numFmtId="0" fontId="9" fillId="0" borderId="0" applyAlignment="1" pivotButton="0" quotePrefix="0" xfId="1">
      <alignment horizontal="justify" vertical="top" wrapText="1"/>
    </xf>
    <xf numFmtId="0" fontId="35" fillId="13" borderId="57" applyAlignment="1" pivotButton="0" quotePrefix="0" xfId="0">
      <alignment wrapText="1"/>
    </xf>
    <xf numFmtId="0" fontId="35" fillId="13" borderId="58" applyAlignment="1" pivotButton="0" quotePrefix="0" xfId="0">
      <alignment wrapText="1"/>
    </xf>
    <xf numFmtId="0" fontId="26" fillId="0" borderId="0" applyAlignment="1" pivotButton="0" quotePrefix="0" xfId="1">
      <alignment horizontal="left" vertical="top" wrapText="1"/>
    </xf>
    <xf numFmtId="49" fontId="26" fillId="0" borderId="0" applyAlignment="1" pivotButton="0" quotePrefix="0" xfId="1">
      <alignment horizontal="left" vertical="top" wrapText="1"/>
    </xf>
    <xf numFmtId="0" fontId="26" fillId="0" borderId="0" applyAlignment="1" pivotButton="0" quotePrefix="0" xfId="1">
      <alignment horizontal="justify" vertical="center"/>
    </xf>
    <xf numFmtId="0" fontId="35" fillId="13" borderId="55" applyAlignment="1" pivotButton="0" quotePrefix="0" xfId="0">
      <alignment wrapText="1"/>
    </xf>
    <xf numFmtId="0" fontId="35" fillId="13" borderId="56" applyAlignment="1" pivotButton="0" quotePrefix="0" xfId="0">
      <alignment wrapText="1"/>
    </xf>
    <xf numFmtId="0" fontId="35" fillId="13" borderId="63" applyAlignment="1" pivotButton="0" quotePrefix="0" xfId="0">
      <alignment wrapText="1"/>
    </xf>
    <xf numFmtId="0" fontId="35" fillId="13" borderId="64" applyAlignment="1" pivotButton="0" quotePrefix="0" xfId="0">
      <alignment wrapText="1"/>
    </xf>
    <xf numFmtId="0" fontId="0" fillId="0" borderId="0" pivotButton="0" quotePrefix="1" xfId="0"/>
    <xf numFmtId="0" fontId="50" fillId="0" borderId="0" applyProtection="1" pivotButton="0" quotePrefix="0" xfId="1">
      <protection locked="1" hidden="1"/>
    </xf>
    <xf numFmtId="0" fontId="35" fillId="13" borderId="65" applyAlignment="1" pivotButton="0" quotePrefix="0" xfId="0">
      <alignment wrapText="1"/>
    </xf>
    <xf numFmtId="0" fontId="45" fillId="15" borderId="71" applyAlignment="1" pivotButton="0" quotePrefix="0" xfId="0">
      <alignment wrapText="1"/>
    </xf>
    <xf numFmtId="0" fontId="45" fillId="15" borderId="73" applyAlignment="1" pivotButton="0" quotePrefix="0" xfId="0">
      <alignment wrapText="1"/>
    </xf>
    <xf numFmtId="0" fontId="7" fillId="0" borderId="0" applyAlignment="1" pivotButton="0" quotePrefix="0" xfId="1">
      <alignment horizontal="left" vertical="top" wrapText="1"/>
    </xf>
    <xf numFmtId="0" fontId="10" fillId="0" borderId="0" applyAlignment="1" pivotButton="0" quotePrefix="0" xfId="2">
      <alignment horizontal="left" vertical="top" wrapText="1"/>
    </xf>
    <xf numFmtId="0" fontId="30" fillId="0" borderId="0" applyAlignment="1" pivotButton="0" quotePrefix="0" xfId="1">
      <alignment horizontal="justify" vertical="top" wrapText="1"/>
    </xf>
    <xf numFmtId="0" fontId="31" fillId="0" borderId="0" applyAlignment="1" pivotButton="0" quotePrefix="0" xfId="1">
      <alignment horizontal="justify" vertical="top" wrapText="1"/>
    </xf>
    <xf numFmtId="0" fontId="6" fillId="0" borderId="0" applyAlignment="1" pivotButton="0" quotePrefix="0" xfId="2">
      <alignment horizontal="justify" vertical="top" wrapText="1"/>
    </xf>
    <xf numFmtId="0" fontId="8" fillId="0" borderId="0" applyAlignment="1" pivotButton="0" quotePrefix="0" xfId="1">
      <alignment vertical="top"/>
    </xf>
    <xf numFmtId="0" fontId="34" fillId="0" borderId="0" applyAlignment="1" pivotButton="0" quotePrefix="0" xfId="1">
      <alignment vertical="top"/>
    </xf>
    <xf numFmtId="0" fontId="35" fillId="13" borderId="69" applyAlignment="1" pivotButton="0" quotePrefix="0" xfId="0">
      <alignment wrapText="1"/>
    </xf>
    <xf numFmtId="0" fontId="35" fillId="13" borderId="70" applyAlignment="1" pivotButton="0" quotePrefix="0" xfId="0">
      <alignment wrapText="1"/>
    </xf>
    <xf numFmtId="0" fontId="38" fillId="0" borderId="0" applyAlignment="1" applyProtection="1" pivotButton="0" quotePrefix="0" xfId="0">
      <alignment wrapText="1"/>
      <protection locked="1" hidden="1"/>
    </xf>
    <xf numFmtId="0" fontId="38" fillId="0" borderId="0" applyProtection="1" pivotButton="0" quotePrefix="0" xfId="0">
      <protection locked="1" hidden="1"/>
    </xf>
    <xf numFmtId="0" fontId="37" fillId="0" borderId="0" applyProtection="1" pivotButton="0" quotePrefix="0" xfId="0">
      <protection locked="1" hidden="1"/>
    </xf>
    <xf numFmtId="0" fontId="37" fillId="0" borderId="0" applyAlignment="1" applyProtection="1" pivotButton="0" quotePrefix="0" xfId="0">
      <alignment wrapText="1"/>
      <protection locked="1" hidden="1"/>
    </xf>
    <xf numFmtId="0" fontId="38" fillId="3" borderId="0" applyProtection="1" pivotButton="0" quotePrefix="0" xfId="0">
      <protection locked="1" hidden="1"/>
    </xf>
    <xf numFmtId="0" fontId="38" fillId="4" borderId="0" applyProtection="1" pivotButton="0" quotePrefix="0" xfId="0">
      <protection locked="1" hidden="1"/>
    </xf>
    <xf numFmtId="0" fontId="38" fillId="5" borderId="0" applyProtection="1" pivotButton="0" quotePrefix="0" xfId="0">
      <protection locked="1" hidden="1"/>
    </xf>
    <xf numFmtId="0" fontId="39" fillId="0" borderId="0" applyProtection="1" pivotButton="0" quotePrefix="0" xfId="0">
      <protection locked="1" hidden="1"/>
    </xf>
    <xf numFmtId="0" fontId="38" fillId="6" borderId="0" applyProtection="1" pivotButton="0" quotePrefix="0" xfId="0">
      <protection locked="1" hidden="1"/>
    </xf>
    <xf numFmtId="0" fontId="38" fillId="7" borderId="0" applyProtection="1" pivotButton="0" quotePrefix="0" xfId="0">
      <protection locked="1" hidden="1"/>
    </xf>
    <xf numFmtId="0" fontId="38" fillId="8" borderId="0" applyProtection="1" pivotButton="0" quotePrefix="0" xfId="0">
      <protection locked="1" hidden="1"/>
    </xf>
    <xf numFmtId="0" fontId="38" fillId="9" borderId="0" applyProtection="1" pivotButton="0" quotePrefix="0" xfId="0">
      <protection locked="1" hidden="1"/>
    </xf>
    <xf numFmtId="0" fontId="38" fillId="10" borderId="0" applyProtection="1" pivotButton="0" quotePrefix="0" xfId="0">
      <protection locked="1" hidden="1"/>
    </xf>
    <xf numFmtId="0" fontId="38" fillId="11" borderId="0" applyProtection="1" pivotButton="0" quotePrefix="0" xfId="0">
      <protection locked="1" hidden="1"/>
    </xf>
    <xf numFmtId="0" fontId="38" fillId="2" borderId="0" applyProtection="1" pivotButton="0" quotePrefix="0" xfId="0">
      <protection locked="1" hidden="1"/>
    </xf>
    <xf numFmtId="0" fontId="38" fillId="12" borderId="0" applyProtection="1" pivotButton="0" quotePrefix="0" xfId="0">
      <protection locked="1" hidden="1"/>
    </xf>
    <xf numFmtId="0" fontId="38" fillId="18" borderId="0" applyProtection="1" pivotButton="0" quotePrefix="0" xfId="0">
      <protection locked="1" hidden="1"/>
    </xf>
    <xf numFmtId="0" fontId="38" fillId="19" borderId="0" applyProtection="1" pivotButton="0" quotePrefix="0" xfId="0">
      <protection locked="1" hidden="1"/>
    </xf>
    <xf numFmtId="0" fontId="33" fillId="0" borderId="0" applyProtection="1" pivotButton="0" quotePrefix="0" xfId="0">
      <protection locked="1" hidden="1"/>
    </xf>
    <xf numFmtId="0" fontId="40" fillId="0" borderId="0" applyProtection="1" pivotButton="0" quotePrefix="0" xfId="0">
      <protection locked="1" hidden="1"/>
    </xf>
    <xf numFmtId="0" fontId="35" fillId="13" borderId="0" applyAlignment="1" applyProtection="1" pivotButton="0" quotePrefix="0" xfId="0">
      <alignment wrapText="1"/>
      <protection locked="1" hidden="1"/>
    </xf>
    <xf numFmtId="0" fontId="52" fillId="17" borderId="76" applyAlignment="1" applyProtection="1" pivotButton="0" quotePrefix="0" xfId="0">
      <alignment horizontal="center"/>
      <protection locked="1" hidden="1"/>
    </xf>
    <xf numFmtId="0" fontId="38" fillId="0" borderId="0" applyAlignment="1" applyProtection="1" pivotButton="0" quotePrefix="0" xfId="0">
      <alignment horizontal="center"/>
      <protection locked="1" hidden="1"/>
    </xf>
    <xf numFmtId="0" fontId="52" fillId="17" borderId="77" applyAlignment="1" applyProtection="1" pivotButton="0" quotePrefix="0" xfId="0">
      <alignment horizontal="center"/>
      <protection locked="1" hidden="1"/>
    </xf>
    <xf numFmtId="0" fontId="53" fillId="0" borderId="78" applyAlignment="1" applyProtection="1" pivotButton="0" quotePrefix="0" xfId="0">
      <alignment wrapText="1"/>
      <protection locked="1" hidden="1"/>
    </xf>
    <xf numFmtId="0" fontId="53" fillId="0" borderId="76" applyAlignment="1" applyProtection="1" pivotButton="0" quotePrefix="0" xfId="0">
      <alignment wrapText="1"/>
      <protection locked="1" hidden="1"/>
    </xf>
    <xf numFmtId="0" fontId="53" fillId="0" borderId="76" applyProtection="1" pivotButton="0" quotePrefix="0" xfId="0">
      <protection locked="1" hidden="1"/>
    </xf>
    <xf numFmtId="0" fontId="53" fillId="16" borderId="76" applyAlignment="1" applyProtection="1" pivotButton="0" quotePrefix="0" xfId="0">
      <alignment wrapText="1"/>
      <protection locked="1" hidden="1"/>
    </xf>
    <xf numFmtId="0" fontId="53" fillId="16" borderId="79" applyAlignment="1" applyProtection="1" pivotButton="0" quotePrefix="0" xfId="0">
      <alignment wrapText="1"/>
      <protection locked="1" hidden="1"/>
    </xf>
    <xf numFmtId="0" fontId="38" fillId="0" borderId="0" applyAlignment="1" applyProtection="1" pivotButton="0" quotePrefix="1" xfId="0">
      <alignment wrapText="1"/>
      <protection locked="1" hidden="1"/>
    </xf>
    <xf numFmtId="0" fontId="53" fillId="0" borderId="78" applyProtection="1" pivotButton="0" quotePrefix="0" xfId="0">
      <protection locked="1" hidden="1"/>
    </xf>
    <xf numFmtId="0" fontId="53" fillId="0" borderId="79" applyAlignment="1" applyProtection="1" pivotButton="0" quotePrefix="0" xfId="0">
      <alignment wrapText="1"/>
      <protection locked="1" hidden="1"/>
    </xf>
    <xf numFmtId="0" fontId="53" fillId="0" borderId="76" applyAlignment="1" applyProtection="1" pivotButton="0" quotePrefix="1" xfId="0">
      <alignment wrapText="1"/>
      <protection locked="1" hidden="1"/>
    </xf>
    <xf numFmtId="0" fontId="53" fillId="0" borderId="79" applyAlignment="1" applyProtection="1" pivotButton="0" quotePrefix="1" xfId="0">
      <alignment wrapText="1"/>
      <protection locked="1" hidden="1"/>
    </xf>
    <xf numFmtId="0" fontId="38" fillId="21" borderId="0" applyAlignment="1" applyProtection="1" pivotButton="0" quotePrefix="1" xfId="0">
      <alignment wrapText="1"/>
      <protection locked="1" hidden="1"/>
    </xf>
    <xf numFmtId="0" fontId="41" fillId="0" borderId="0" applyProtection="1" pivotButton="0" quotePrefix="0" xfId="0">
      <protection locked="1" hidden="1"/>
    </xf>
    <xf numFmtId="0" fontId="38" fillId="0" borderId="76" applyProtection="1" pivotButton="0" quotePrefix="0" xfId="0">
      <protection locked="1" hidden="1"/>
    </xf>
    <xf numFmtId="0" fontId="38" fillId="0" borderId="79" applyAlignment="1" applyProtection="1" pivotButton="0" quotePrefix="0" xfId="0">
      <alignment wrapText="1"/>
      <protection locked="1" hidden="1"/>
    </xf>
    <xf numFmtId="0" fontId="38" fillId="0" borderId="76" applyAlignment="1" applyProtection="1" pivotButton="0" quotePrefix="0" xfId="0">
      <alignment wrapText="1"/>
      <protection locked="1" hidden="1"/>
    </xf>
    <xf numFmtId="0" fontId="52" fillId="17" borderId="0" applyProtection="1" pivotButton="0" quotePrefix="0" xfId="0">
      <protection locked="1" hidden="1"/>
    </xf>
    <xf numFmtId="0" fontId="63" fillId="0" borderId="0" applyProtection="1" pivotButton="0" quotePrefix="0" xfId="0">
      <protection locked="1" hidden="1"/>
    </xf>
    <xf numFmtId="0" fontId="45" fillId="0" borderId="0" applyProtection="1" pivotButton="0" quotePrefix="0" xfId="0">
      <protection locked="0" hidden="0"/>
    </xf>
    <xf numFmtId="0" fontId="47" fillId="0" borderId="0" applyProtection="1" pivotButton="0" quotePrefix="0" xfId="0">
      <protection locked="0" hidden="0"/>
    </xf>
    <xf numFmtId="0" fontId="45" fillId="0" borderId="7" applyProtection="1" pivotButton="0" quotePrefix="0" xfId="0">
      <protection locked="0" hidden="0"/>
    </xf>
    <xf numFmtId="0" fontId="45" fillId="0" borderId="0" pivotButton="0" quotePrefix="0" xfId="0"/>
    <xf numFmtId="0" fontId="46" fillId="14" borderId="13" applyAlignment="1" pivotButton="0" quotePrefix="0" xfId="0">
      <alignment wrapText="1"/>
    </xf>
    <xf numFmtId="0" fontId="46" fillId="13" borderId="18" applyAlignment="1" pivotButton="0" quotePrefix="0" xfId="0">
      <alignment wrapText="1"/>
    </xf>
    <xf numFmtId="0" fontId="45" fillId="15" borderId="20" applyAlignment="1" pivotButton="0" quotePrefix="0" xfId="0">
      <alignment wrapText="1"/>
    </xf>
    <xf numFmtId="0" fontId="45" fillId="15" borderId="7" applyAlignment="1" pivotButton="0" quotePrefix="0" xfId="0">
      <alignment wrapText="1"/>
    </xf>
    <xf numFmtId="0" fontId="47" fillId="0" borderId="0" pivotButton="0" quotePrefix="0" xfId="0"/>
    <xf numFmtId="0" fontId="45" fillId="0" borderId="7" applyAlignment="1" applyProtection="1" pivotButton="0" quotePrefix="0" xfId="0">
      <alignment wrapText="1"/>
      <protection locked="1" hidden="1"/>
    </xf>
    <xf numFmtId="0" fontId="45" fillId="0" borderId="21" applyAlignment="1" applyProtection="1" pivotButton="0" quotePrefix="0" xfId="0">
      <alignment wrapText="1"/>
      <protection locked="1" hidden="1"/>
    </xf>
    <xf numFmtId="0" fontId="45" fillId="0" borderId="13" applyProtection="1" pivotButton="0" quotePrefix="0" xfId="0">
      <protection locked="1" hidden="1"/>
    </xf>
    <xf numFmtId="0" fontId="45" fillId="0" borderId="19" applyProtection="1" pivotButton="0" quotePrefix="0" xfId="0">
      <protection locked="1" hidden="1"/>
    </xf>
    <xf numFmtId="0" fontId="17" fillId="0" borderId="0" applyAlignment="1" pivotButton="0" quotePrefix="0" xfId="0">
      <alignment wrapText="1"/>
    </xf>
    <xf numFmtId="0" fontId="53" fillId="0" borderId="0" applyProtection="1" pivotButton="0" quotePrefix="0" xfId="0">
      <protection locked="1" hidden="1"/>
    </xf>
    <xf numFmtId="0" fontId="53" fillId="0" borderId="0" applyAlignment="1" applyProtection="1" pivotButton="0" quotePrefix="0" xfId="0">
      <alignment wrapText="1"/>
      <protection locked="1" hidden="1"/>
    </xf>
    <xf numFmtId="0" fontId="0" fillId="0" borderId="13" pivotButton="0" quotePrefix="0" xfId="0"/>
    <xf numFmtId="0" fontId="65" fillId="0" borderId="13" pivotButton="0" quotePrefix="0" xfId="0"/>
    <xf numFmtId="0" fontId="0" fillId="0" borderId="13" applyAlignment="1" pivotButton="0" quotePrefix="0" xfId="0">
      <alignment wrapText="1"/>
    </xf>
    <xf numFmtId="0" fontId="64" fillId="0" borderId="7" applyAlignment="1" applyProtection="1" pivotButton="0" quotePrefix="0" xfId="0">
      <alignment horizontal="left" vertical="top" wrapText="1"/>
      <protection locked="0" hidden="0"/>
    </xf>
    <xf numFmtId="0" fontId="38" fillId="0" borderId="8" applyAlignment="1" applyProtection="1" pivotButton="0" quotePrefix="0" xfId="0">
      <alignment wrapText="1"/>
      <protection locked="0" hidden="0"/>
    </xf>
    <xf numFmtId="0" fontId="45" fillId="15" borderId="112" applyAlignment="1" pivotButton="0" quotePrefix="0" xfId="0">
      <alignment wrapText="1"/>
    </xf>
    <xf numFmtId="0" fontId="45" fillId="0" borderId="74" applyAlignment="1" applyProtection="1" pivotButton="0" quotePrefix="0" xfId="0">
      <alignment wrapText="1"/>
      <protection locked="0" hidden="0"/>
    </xf>
    <xf numFmtId="0" fontId="38" fillId="0" borderId="7" applyAlignment="1" applyProtection="1" pivotButton="0" quotePrefix="0" xfId="0">
      <alignment wrapText="1"/>
      <protection locked="0" hidden="0"/>
    </xf>
    <xf numFmtId="0" fontId="38" fillId="0" borderId="11" applyAlignment="1" applyProtection="1" pivotButton="0" quotePrefix="0" xfId="0">
      <alignment wrapText="1"/>
      <protection locked="0" hidden="0"/>
    </xf>
    <xf numFmtId="0" fontId="10" fillId="0" borderId="87" applyProtection="1" pivotButton="0" quotePrefix="0" xfId="0">
      <protection locked="0" hidden="0"/>
    </xf>
    <xf numFmtId="0" fontId="10" fillId="0" borderId="82" applyProtection="1" pivotButton="0" quotePrefix="0" xfId="0">
      <protection locked="0" hidden="0"/>
    </xf>
    <xf numFmtId="0" fontId="10" fillId="0" borderId="30" applyProtection="1" pivotButton="0" quotePrefix="0" xfId="0">
      <protection locked="0" hidden="0"/>
    </xf>
    <xf numFmtId="0" fontId="10" fillId="0" borderId="31" applyProtection="1" pivotButton="0" quotePrefix="0" xfId="0">
      <protection locked="0" hidden="0"/>
    </xf>
    <xf numFmtId="0" fontId="41" fillId="0" borderId="76" applyProtection="1" pivotButton="0" quotePrefix="0" xfId="0">
      <protection locked="1" hidden="1"/>
    </xf>
    <xf numFmtId="0" fontId="41" fillId="0" borderId="76" applyAlignment="1" applyProtection="1" pivotButton="0" quotePrefix="0" xfId="0">
      <alignment wrapText="1"/>
      <protection locked="1" hidden="1"/>
    </xf>
    <xf numFmtId="0" fontId="34" fillId="16" borderId="0" applyProtection="1" pivotButton="0" quotePrefix="0" xfId="0">
      <protection locked="1" hidden="1"/>
    </xf>
    <xf numFmtId="0" fontId="49" fillId="0" borderId="0" pivotButton="0" quotePrefix="0" xfId="0"/>
    <xf numFmtId="0" fontId="34" fillId="0" borderId="115" pivotButton="0" quotePrefix="0" xfId="0"/>
    <xf numFmtId="0" fontId="34" fillId="0" borderId="0" pivotButton="0" quotePrefix="0" xfId="0"/>
    <xf numFmtId="0" fontId="39" fillId="23" borderId="0" applyProtection="1" pivotButton="0" quotePrefix="0" xfId="0">
      <protection locked="1" hidden="1"/>
    </xf>
    <xf numFmtId="0" fontId="53" fillId="3" borderId="76" applyProtection="1" pivotButton="0" quotePrefix="0" xfId="0">
      <protection locked="1" hidden="1"/>
    </xf>
    <xf numFmtId="0" fontId="2" fillId="0" borderId="0" applyProtection="1" pivotButton="0" quotePrefix="1" xfId="1">
      <protection locked="0" hidden="0"/>
    </xf>
    <xf numFmtId="0" fontId="38" fillId="0" borderId="0" pivotButton="0" quotePrefix="0" xfId="0"/>
    <xf numFmtId="0" fontId="38" fillId="0" borderId="0" applyAlignment="1" pivotButton="0" quotePrefix="0" xfId="0">
      <alignment wrapText="1"/>
    </xf>
    <xf numFmtId="0" fontId="34" fillId="0" borderId="114" pivotButton="0" quotePrefix="0" xfId="0"/>
    <xf numFmtId="0" fontId="34" fillId="0" borderId="0" applyProtection="1" pivotButton="0" quotePrefix="0" xfId="0">
      <protection locked="1" hidden="1"/>
    </xf>
    <xf numFmtId="0" fontId="38" fillId="0" borderId="120" applyAlignment="1" applyProtection="1" pivotButton="0" quotePrefix="0" xfId="0">
      <alignment wrapText="1"/>
      <protection locked="0" hidden="0"/>
    </xf>
    <xf numFmtId="0" fontId="35" fillId="13" borderId="123" applyAlignment="1" pivotButton="0" quotePrefix="0" xfId="0">
      <alignment wrapText="1"/>
    </xf>
    <xf numFmtId="0" fontId="45" fillId="15" borderId="124" applyAlignment="1" pivotButton="0" quotePrefix="0" xfId="0">
      <alignment wrapText="1"/>
    </xf>
    <xf numFmtId="0" fontId="34" fillId="2" borderId="71" applyAlignment="1" pivotButton="0" quotePrefix="0" xfId="0">
      <alignment wrapText="1"/>
    </xf>
    <xf numFmtId="0" fontId="45" fillId="2" borderId="71" applyAlignment="1" pivotButton="0" quotePrefix="0" xfId="0">
      <alignment wrapText="1"/>
    </xf>
    <xf numFmtId="0" fontId="45" fillId="15" borderId="125" applyAlignment="1" pivotButton="0" quotePrefix="0" xfId="0">
      <alignment wrapText="1"/>
    </xf>
    <xf numFmtId="0" fontId="45" fillId="2" borderId="119" applyAlignment="1" pivotButton="0" quotePrefix="0" xfId="0">
      <alignment wrapText="1"/>
    </xf>
    <xf numFmtId="0" fontId="45" fillId="15" borderId="126" applyAlignment="1" pivotButton="0" quotePrefix="0" xfId="0">
      <alignment wrapText="1"/>
    </xf>
    <xf numFmtId="0" fontId="45" fillId="2" borderId="122" applyAlignment="1" pivotButton="0" quotePrefix="0" xfId="0">
      <alignment wrapText="1"/>
    </xf>
    <xf numFmtId="0" fontId="38" fillId="0" borderId="9" applyAlignment="1" pivotButton="0" quotePrefix="0" xfId="0">
      <alignment wrapText="1"/>
    </xf>
    <xf numFmtId="0" fontId="38" fillId="0" borderId="10" applyAlignment="1" pivotButton="0" quotePrefix="0" xfId="0">
      <alignment wrapText="1"/>
    </xf>
    <xf numFmtId="0" fontId="38" fillId="0" borderId="12" applyAlignment="1" pivotButton="0" quotePrefix="0" xfId="0">
      <alignment wrapText="1"/>
    </xf>
    <xf numFmtId="0" fontId="38" fillId="0" borderId="121" applyAlignment="1" pivotButton="0" quotePrefix="0" xfId="0">
      <alignment wrapText="1"/>
    </xf>
    <xf numFmtId="0" fontId="45" fillId="0" borderId="7" applyAlignment="1" applyProtection="1" pivotButton="0" quotePrefix="0" xfId="0">
      <alignment wrapText="1"/>
      <protection locked="0" hidden="0"/>
    </xf>
    <xf numFmtId="0" fontId="0" fillId="0" borderId="13" pivotButton="0" quotePrefix="1" xfId="0"/>
    <xf numFmtId="0" fontId="53" fillId="3" borderId="0" applyProtection="1" pivotButton="0" quotePrefix="0" xfId="0">
      <protection locked="1" hidden="1"/>
    </xf>
    <xf numFmtId="0" fontId="26" fillId="0" borderId="0" applyAlignment="1" applyProtection="1" pivotButton="0" quotePrefix="0" xfId="1">
      <alignment horizontal="left" vertical="top" wrapText="1"/>
      <protection locked="0" hidden="0"/>
    </xf>
    <xf numFmtId="0" fontId="26" fillId="16" borderId="6" applyAlignment="1" applyProtection="1" pivotButton="0" quotePrefix="0" xfId="1">
      <alignment horizontal="left" vertical="top" wrapText="1"/>
      <protection locked="0" hidden="0"/>
    </xf>
    <xf numFmtId="0" fontId="26" fillId="16" borderId="6" applyAlignment="1" applyProtection="1" pivotButton="0" quotePrefix="0" xfId="1">
      <alignment horizontal="justify" vertical="center"/>
      <protection locked="0" hidden="0"/>
    </xf>
    <xf numFmtId="0" fontId="2" fillId="0" borderId="127" applyProtection="1" pivotButton="0" quotePrefix="0" xfId="1">
      <protection locked="0" hidden="0"/>
    </xf>
    <xf numFmtId="0" fontId="10" fillId="0" borderId="5" applyProtection="1" pivotButton="0" quotePrefix="0" xfId="0">
      <protection locked="0" hidden="0"/>
    </xf>
    <xf numFmtId="0" fontId="10" fillId="0" borderId="3" pivotButton="0" quotePrefix="0" xfId="0"/>
    <xf numFmtId="0" fontId="64" fillId="0" borderId="128" applyAlignment="1" applyProtection="1" pivotButton="0" quotePrefix="0" xfId="0">
      <alignment horizontal="left" vertical="top" wrapText="1"/>
      <protection locked="0" hidden="0"/>
    </xf>
    <xf numFmtId="0" fontId="64" fillId="0" borderId="129" applyAlignment="1" applyProtection="1" pivotButton="0" quotePrefix="0" xfId="0">
      <alignment horizontal="left" vertical="top" wrapText="1"/>
      <protection locked="0" hidden="0"/>
    </xf>
    <xf numFmtId="0" fontId="10" fillId="0" borderId="38" applyProtection="1" pivotButton="0" quotePrefix="0" xfId="0">
      <protection locked="0" hidden="0"/>
    </xf>
    <xf numFmtId="0" fontId="26" fillId="0" borderId="130" applyAlignment="1" applyProtection="1" pivotButton="0" quotePrefix="0" xfId="1">
      <alignment horizontal="left" vertical="top" wrapText="1"/>
      <protection locked="0" hidden="0"/>
    </xf>
    <xf numFmtId="0" fontId="32" fillId="0" borderId="26" applyAlignment="1" applyProtection="1" pivotButton="0" quotePrefix="0" xfId="1">
      <alignment horizontal="left" vertical="top" wrapText="1"/>
      <protection locked="0" hidden="0"/>
    </xf>
    <xf numFmtId="0" fontId="32" fillId="16" borderId="21" applyAlignment="1" applyProtection="1" pivotButton="0" quotePrefix="0" xfId="1">
      <alignment horizontal="left" vertical="top" wrapText="1"/>
      <protection locked="0" hidden="0"/>
    </xf>
    <xf numFmtId="0" fontId="32" fillId="16" borderId="89" applyAlignment="1" applyProtection="1" pivotButton="0" quotePrefix="0" xfId="1">
      <alignment horizontal="left" vertical="top" wrapText="1"/>
      <protection locked="0" hidden="0"/>
    </xf>
    <xf numFmtId="0" fontId="32" fillId="16" borderId="1" applyAlignment="1" applyProtection="1" pivotButton="0" quotePrefix="0" xfId="1">
      <alignment horizontal="left" vertical="top" wrapText="1"/>
      <protection locked="0" hidden="0"/>
    </xf>
    <xf numFmtId="0" fontId="50" fillId="0" borderId="25" applyProtection="1" pivotButton="0" quotePrefix="0" xfId="1">
      <protection locked="0" hidden="0"/>
    </xf>
    <xf numFmtId="0" fontId="32" fillId="0" borderId="62" applyAlignment="1" applyProtection="1" pivotButton="0" quotePrefix="0" xfId="1">
      <alignment horizontal="left" vertical="top" wrapText="1"/>
      <protection locked="0" hidden="0"/>
    </xf>
    <xf numFmtId="0" fontId="32" fillId="0" borderId="29" applyAlignment="1" applyProtection="1" pivotButton="0" quotePrefix="0" xfId="1">
      <alignment horizontal="left" vertical="top" wrapText="1"/>
      <protection locked="0" hidden="0"/>
    </xf>
    <xf numFmtId="0" fontId="32" fillId="0" borderId="30" applyAlignment="1" applyProtection="1" pivotButton="0" quotePrefix="0" xfId="1">
      <alignment horizontal="left" vertical="top" wrapText="1"/>
      <protection locked="0" hidden="0"/>
    </xf>
    <xf numFmtId="0" fontId="50" fillId="0" borderId="31" applyProtection="1" pivotButton="0" quotePrefix="0" xfId="1">
      <protection locked="0" hidden="0"/>
    </xf>
    <xf numFmtId="0" fontId="38" fillId="19" borderId="0" pivotButton="0" quotePrefix="0" xfId="0"/>
    <xf numFmtId="0" fontId="45" fillId="15" borderId="67" pivotButton="0" quotePrefix="0" xfId="0"/>
    <xf numFmtId="0" fontId="26" fillId="16" borderId="1" applyAlignment="1" applyProtection="1" pivotButton="0" quotePrefix="0" xfId="1">
      <alignment horizontal="left" vertical="top"/>
      <protection locked="0" hidden="0"/>
    </xf>
    <xf numFmtId="0" fontId="32" fillId="23" borderId="1" applyAlignment="1" applyProtection="1" pivotButton="0" quotePrefix="0" xfId="1">
      <alignment horizontal="left" vertical="top"/>
      <protection locked="0" hidden="0"/>
    </xf>
    <xf numFmtId="0" fontId="32" fillId="16" borderId="1" applyAlignment="1" applyProtection="1" pivotButton="0" quotePrefix="0" xfId="1">
      <alignment horizontal="left" vertical="top"/>
      <protection locked="0" hidden="0"/>
    </xf>
    <xf numFmtId="0" fontId="32" fillId="0" borderId="1" applyAlignment="1" applyProtection="1" pivotButton="0" quotePrefix="0" xfId="1">
      <alignment horizontal="left" vertical="top"/>
      <protection locked="0" hidden="0"/>
    </xf>
    <xf numFmtId="0" fontId="2" fillId="0" borderId="25" applyAlignment="1" applyProtection="1" pivotButton="0" quotePrefix="0" xfId="1">
      <alignment horizontal="left" vertical="top"/>
      <protection locked="0" hidden="0"/>
    </xf>
    <xf numFmtId="0" fontId="50" fillId="0" borderId="25" applyAlignment="1" applyProtection="1" pivotButton="0" quotePrefix="0" xfId="1">
      <alignment horizontal="left" vertical="top"/>
      <protection locked="0" hidden="0"/>
    </xf>
    <xf numFmtId="0" fontId="26" fillId="23" borderId="30" applyAlignment="1" applyProtection="1" pivotButton="0" quotePrefix="0" xfId="1">
      <alignment horizontal="left" vertical="top"/>
      <protection locked="0" hidden="0"/>
    </xf>
    <xf numFmtId="0" fontId="2" fillId="0" borderId="30" applyAlignment="1" applyProtection="1" pivotButton="0" quotePrefix="0" xfId="1">
      <alignment horizontal="left" vertical="top"/>
      <protection locked="0" hidden="0"/>
    </xf>
    <xf numFmtId="0" fontId="2" fillId="0" borderId="31" applyAlignment="1" applyProtection="1" pivotButton="0" quotePrefix="0" xfId="1">
      <alignment horizontal="left" vertical="top"/>
      <protection locked="0" hidden="0"/>
    </xf>
    <xf numFmtId="0" fontId="70" fillId="0" borderId="63" applyAlignment="1" applyProtection="1" pivotButton="0" quotePrefix="0" xfId="0">
      <alignment wrapText="1"/>
      <protection locked="0" hidden="0"/>
    </xf>
    <xf numFmtId="0" fontId="64" fillId="0" borderId="21" applyAlignment="1" applyProtection="1" pivotButton="0" quotePrefix="0" xfId="0">
      <alignment horizontal="left" vertical="top" wrapText="1"/>
      <protection locked="0" hidden="0"/>
    </xf>
    <xf numFmtId="0" fontId="59" fillId="0" borderId="9" applyAlignment="1" applyProtection="1" pivotButton="0" quotePrefix="0" xfId="0">
      <alignment horizontal="left" vertical="top"/>
      <protection locked="0" hidden="0"/>
    </xf>
    <xf numFmtId="0" fontId="59" fillId="0" borderId="133" applyAlignment="1" applyProtection="1" pivotButton="0" quotePrefix="0" xfId="0">
      <alignment horizontal="left" vertical="top"/>
      <protection locked="0" hidden="0"/>
    </xf>
    <xf numFmtId="0" fontId="70" fillId="0" borderId="8" applyAlignment="1" applyProtection="1" pivotButton="0" quotePrefix="0" xfId="0">
      <alignment horizontal="left" vertical="top" wrapText="1"/>
      <protection locked="0" hidden="0"/>
    </xf>
    <xf numFmtId="0" fontId="70" fillId="0" borderId="7" applyAlignment="1" applyProtection="1" pivotButton="0" quotePrefix="0" xfId="0">
      <alignment horizontal="left" vertical="top" wrapText="1"/>
      <protection locked="0" hidden="0"/>
    </xf>
    <xf numFmtId="0" fontId="70" fillId="0" borderId="11" applyAlignment="1" applyProtection="1" pivotButton="0" quotePrefix="0" xfId="0">
      <alignment horizontal="left" vertical="top" wrapText="1"/>
      <protection locked="0" hidden="0"/>
    </xf>
    <xf numFmtId="0" fontId="64" fillId="0" borderId="63" applyAlignment="1" applyProtection="1" pivotButton="0" quotePrefix="0" xfId="0">
      <alignment horizontal="left" vertical="top" wrapText="1"/>
      <protection locked="0" hidden="0"/>
    </xf>
    <xf numFmtId="0" fontId="64" fillId="24" borderId="62" applyAlignment="1" applyProtection="1" pivotButton="0" quotePrefix="0" xfId="0">
      <alignment horizontal="left" vertical="top" wrapText="1"/>
      <protection locked="0" hidden="0"/>
    </xf>
    <xf numFmtId="0" fontId="64" fillId="24" borderId="132" applyAlignment="1" applyProtection="1" pivotButton="0" quotePrefix="0" xfId="0">
      <alignment horizontal="left" vertical="top" wrapText="1"/>
      <protection locked="0" hidden="0"/>
    </xf>
    <xf numFmtId="0" fontId="64" fillId="24" borderId="8" applyAlignment="1" applyProtection="1" pivotButton="0" quotePrefix="0" xfId="0">
      <alignment horizontal="left" vertical="top" wrapText="1"/>
      <protection locked="0" hidden="0"/>
    </xf>
    <xf numFmtId="0" fontId="64" fillId="24" borderId="8" applyAlignment="1" applyProtection="1" pivotButton="0" quotePrefix="0" xfId="0">
      <alignment horizontal="left" vertical="top"/>
      <protection locked="0" hidden="0"/>
    </xf>
    <xf numFmtId="0" fontId="64" fillId="0" borderId="8" applyAlignment="1" applyProtection="1" pivotButton="0" quotePrefix="0" xfId="0">
      <alignment horizontal="left" vertical="top"/>
      <protection locked="0" hidden="0"/>
    </xf>
    <xf numFmtId="0" fontId="64" fillId="0" borderId="62" applyAlignment="1" applyProtection="1" pivotButton="0" quotePrefix="0" xfId="0">
      <alignment horizontal="left" vertical="top" wrapText="1"/>
      <protection locked="0" hidden="0"/>
    </xf>
    <xf numFmtId="0" fontId="68" fillId="0" borderId="133" applyAlignment="1" applyProtection="1" pivotButton="0" quotePrefix="0" xfId="0">
      <alignment horizontal="left" vertical="top"/>
      <protection locked="0" hidden="0"/>
    </xf>
    <xf numFmtId="0" fontId="64" fillId="24" borderId="21" applyAlignment="1" applyProtection="1" pivotButton="0" quotePrefix="0" xfId="0">
      <alignment horizontal="left" vertical="top" wrapText="1"/>
      <protection locked="0" hidden="0"/>
    </xf>
    <xf numFmtId="0" fontId="64" fillId="0" borderId="134" applyAlignment="1" applyProtection="1" pivotButton="0" quotePrefix="0" xfId="0">
      <alignment horizontal="left" vertical="top" wrapText="1"/>
      <protection locked="0" hidden="0"/>
    </xf>
    <xf numFmtId="0" fontId="64" fillId="24" borderId="135" applyAlignment="1" applyProtection="1" pivotButton="0" quotePrefix="0" xfId="0">
      <alignment horizontal="left" vertical="top" wrapText="1"/>
      <protection locked="0" hidden="0"/>
    </xf>
    <xf numFmtId="0" fontId="64" fillId="0" borderId="135" applyAlignment="1" applyProtection="1" pivotButton="0" quotePrefix="0" xfId="0">
      <alignment horizontal="left" vertical="top" wrapText="1"/>
      <protection locked="0" hidden="0"/>
    </xf>
    <xf numFmtId="0" fontId="10" fillId="0" borderId="136" applyAlignment="1" applyProtection="1" pivotButton="0" quotePrefix="0" xfId="0">
      <alignment horizontal="left" vertical="top"/>
      <protection locked="0" hidden="0"/>
    </xf>
    <xf numFmtId="0" fontId="64" fillId="0" borderId="63" applyAlignment="1" applyProtection="1" pivotButton="0" quotePrefix="0" xfId="0">
      <alignment wrapText="1"/>
      <protection locked="0" hidden="0"/>
    </xf>
    <xf numFmtId="0" fontId="64" fillId="0" borderId="132" applyAlignment="1" applyProtection="1" pivotButton="0" quotePrefix="0" xfId="0">
      <alignment wrapText="1"/>
      <protection locked="0" hidden="0"/>
    </xf>
    <xf numFmtId="0" fontId="59" fillId="0" borderId="133" applyProtection="1" pivotButton="0" quotePrefix="0" xfId="0">
      <protection locked="0" hidden="0"/>
    </xf>
    <xf numFmtId="0" fontId="69" fillId="0" borderId="63" applyAlignment="1" applyProtection="1" pivotButton="0" quotePrefix="0" xfId="0">
      <alignment wrapText="1"/>
      <protection locked="0" hidden="0"/>
    </xf>
    <xf numFmtId="0" fontId="69" fillId="0" borderId="62" applyAlignment="1" applyProtection="1" pivotButton="0" quotePrefix="0" xfId="0">
      <alignment wrapText="1"/>
      <protection locked="0" hidden="0"/>
    </xf>
    <xf numFmtId="0" fontId="17" fillId="0" borderId="133" applyProtection="1" pivotButton="0" quotePrefix="0" xfId="0">
      <protection locked="0" hidden="0"/>
    </xf>
    <xf numFmtId="0" fontId="71" fillId="0" borderId="137" applyAlignment="1" applyProtection="1" pivotButton="0" quotePrefix="0" xfId="0">
      <alignment wrapText="1"/>
      <protection locked="0" hidden="0"/>
    </xf>
    <xf numFmtId="0" fontId="71" fillId="0" borderId="7" applyAlignment="1" applyProtection="1" pivotButton="0" quotePrefix="0" xfId="0">
      <alignment wrapText="1"/>
      <protection locked="0" hidden="0"/>
    </xf>
    <xf numFmtId="0" fontId="71" fillId="0" borderId="19" applyAlignment="1" applyProtection="1" pivotButton="0" quotePrefix="0" xfId="0">
      <alignment wrapText="1"/>
      <protection locked="0" hidden="0"/>
    </xf>
    <xf numFmtId="0" fontId="71" fillId="0" borderId="138" applyAlignment="1" applyProtection="1" pivotButton="0" quotePrefix="0" xfId="0">
      <alignment wrapText="1"/>
      <protection locked="0" hidden="0"/>
    </xf>
    <xf numFmtId="0" fontId="64" fillId="0" borderId="7" applyProtection="1" pivotButton="0" quotePrefix="0" xfId="0">
      <protection locked="0" hidden="0"/>
    </xf>
    <xf numFmtId="0" fontId="64" fillId="0" borderId="7" applyAlignment="1" applyProtection="1" pivotButton="0" quotePrefix="0" xfId="0">
      <alignment horizontal="left" vertical="top"/>
      <protection locked="0" hidden="0"/>
    </xf>
    <xf numFmtId="0" fontId="5" fillId="0" borderId="10" applyAlignment="1" applyProtection="1" pivotButton="0" quotePrefix="0" xfId="0">
      <alignment wrapText="1"/>
      <protection locked="0" hidden="0"/>
    </xf>
    <xf numFmtId="0" fontId="64" fillId="0" borderId="19" applyProtection="1" pivotButton="0" quotePrefix="0" xfId="0">
      <protection locked="0" hidden="0"/>
    </xf>
    <xf numFmtId="0" fontId="64" fillId="0" borderId="19" applyAlignment="1" applyProtection="1" pivotButton="0" quotePrefix="0" xfId="0">
      <alignment horizontal="left" vertical="top"/>
      <protection locked="0" hidden="0"/>
    </xf>
    <xf numFmtId="0" fontId="5" fillId="0" borderId="133" applyAlignment="1" applyProtection="1" pivotButton="0" quotePrefix="0" xfId="0">
      <alignment wrapText="1"/>
      <protection locked="0" hidden="0"/>
    </xf>
    <xf numFmtId="0" fontId="64" fillId="0" borderId="138" applyProtection="1" pivotButton="0" quotePrefix="0" xfId="0">
      <protection locked="0" hidden="0"/>
    </xf>
    <xf numFmtId="0" fontId="64" fillId="0" borderId="138" applyAlignment="1" applyProtection="1" pivotButton="0" quotePrefix="0" xfId="0">
      <alignment horizontal="left" vertical="top"/>
      <protection locked="0" hidden="0"/>
    </xf>
    <xf numFmtId="0" fontId="70" fillId="0" borderId="139" applyAlignment="1" applyProtection="1" pivotButton="0" quotePrefix="0" xfId="0">
      <alignment wrapText="1"/>
      <protection locked="0" hidden="0"/>
    </xf>
    <xf numFmtId="0" fontId="69" fillId="0" borderId="131" applyAlignment="1" applyProtection="1" pivotButton="0" quotePrefix="0" xfId="0">
      <alignment wrapText="1"/>
      <protection locked="0" hidden="0"/>
    </xf>
    <xf numFmtId="0" fontId="72" fillId="0" borderId="140" applyAlignment="1" applyProtection="1" pivotButton="0" quotePrefix="0" xfId="1">
      <alignment horizontal="left" vertical="top" wrapText="1"/>
      <protection locked="0" hidden="0"/>
    </xf>
    <xf numFmtId="0" fontId="72" fillId="0" borderId="141" applyAlignment="1" applyProtection="1" pivotButton="0" quotePrefix="0" xfId="1">
      <alignment horizontal="left" vertical="top" wrapText="1"/>
      <protection locked="0" hidden="0"/>
    </xf>
    <xf numFmtId="0" fontId="72" fillId="0" borderId="142" applyAlignment="1" applyProtection="1" pivotButton="0" quotePrefix="0" xfId="1">
      <alignment horizontal="left" vertical="top" wrapText="1"/>
      <protection locked="0" hidden="0"/>
    </xf>
    <xf numFmtId="0" fontId="62" fillId="5" borderId="0" applyAlignment="1" pivotButton="0" quotePrefix="0" xfId="0">
      <alignment wrapText="1"/>
    </xf>
    <xf numFmtId="0" fontId="62" fillId="5" borderId="108" applyAlignment="1" pivotButton="0" quotePrefix="0" xfId="0">
      <alignment wrapText="1"/>
    </xf>
    <xf numFmtId="0" fontId="55" fillId="5" borderId="92" applyAlignment="1" pivotButton="0" quotePrefix="0" xfId="0">
      <alignment wrapText="1"/>
    </xf>
    <xf numFmtId="0" fontId="55" fillId="5" borderId="93" applyAlignment="1" pivotButton="0" quotePrefix="0" xfId="0">
      <alignment wrapText="1"/>
    </xf>
    <xf numFmtId="0" fontId="55" fillId="5" borderId="94" applyAlignment="1" pivotButton="0" quotePrefix="0" xfId="0">
      <alignment wrapText="1"/>
    </xf>
    <xf numFmtId="0" fontId="57" fillId="5" borderId="97" applyAlignment="1" pivotButton="0" quotePrefix="0" xfId="0">
      <alignment wrapText="1"/>
    </xf>
    <xf numFmtId="0" fontId="57" fillId="5" borderId="96" applyAlignment="1" pivotButton="0" quotePrefix="0" xfId="0">
      <alignment wrapText="1"/>
    </xf>
    <xf numFmtId="0" fontId="57" fillId="5" borderId="100" applyAlignment="1" pivotButton="0" quotePrefix="0" xfId="0">
      <alignment wrapText="1"/>
    </xf>
    <xf numFmtId="0" fontId="57" fillId="5" borderId="99" applyAlignment="1" pivotButton="0" quotePrefix="0" xfId="0">
      <alignment wrapText="1"/>
    </xf>
    <xf numFmtId="0" fontId="57" fillId="16" borderId="100" applyAlignment="1" pivotButton="0" quotePrefix="0" xfId="0">
      <alignment wrapText="1"/>
    </xf>
    <xf numFmtId="0" fontId="57" fillId="16" borderId="99" applyAlignment="1" pivotButton="0" quotePrefix="0" xfId="0">
      <alignment wrapText="1"/>
    </xf>
    <xf numFmtId="0" fontId="57" fillId="5" borderId="107" applyAlignment="1" pivotButton="0" quotePrefix="0" xfId="0">
      <alignment wrapText="1"/>
    </xf>
    <xf numFmtId="0" fontId="57" fillId="5" borderId="106" applyAlignment="1" pivotButton="0" quotePrefix="0" xfId="0">
      <alignment wrapText="1"/>
    </xf>
    <xf numFmtId="0" fontId="59" fillId="16" borderId="101" applyAlignment="1" pivotButton="0" quotePrefix="0" xfId="0">
      <alignment wrapText="1"/>
    </xf>
    <xf numFmtId="0" fontId="59" fillId="16" borderId="0" applyAlignment="1" pivotButton="0" quotePrefix="0" xfId="0">
      <alignment wrapText="1"/>
    </xf>
    <xf numFmtId="0" fontId="59" fillId="16" borderId="108" applyAlignment="1" pivotButton="0" quotePrefix="0" xfId="0">
      <alignment wrapText="1"/>
    </xf>
    <xf numFmtId="0" fontId="59" fillId="16" borderId="107" applyAlignment="1" pivotButton="0" quotePrefix="0" xfId="0">
      <alignment wrapText="1"/>
    </xf>
    <xf numFmtId="0" fontId="59" fillId="16" borderId="106" applyAlignment="1" pivotButton="0" quotePrefix="0" xfId="0">
      <alignment wrapText="1"/>
    </xf>
    <xf numFmtId="0" fontId="60" fillId="16" borderId="92" applyAlignment="1" pivotButton="0" quotePrefix="0" xfId="0">
      <alignment wrapText="1"/>
    </xf>
    <xf numFmtId="0" fontId="60" fillId="16" borderId="93" applyAlignment="1" pivotButton="0" quotePrefix="0" xfId="0">
      <alignment wrapText="1"/>
    </xf>
    <xf numFmtId="0" fontId="60" fillId="16" borderId="94" applyAlignment="1" pivotButton="0" quotePrefix="0" xfId="0">
      <alignment wrapText="1"/>
    </xf>
    <xf numFmtId="0" fontId="61" fillId="16" borderId="101" applyAlignment="1" pivotButton="0" quotePrefix="0" xfId="0">
      <alignment wrapText="1"/>
    </xf>
    <xf numFmtId="0" fontId="61" fillId="16" borderId="0" applyAlignment="1" pivotButton="0" quotePrefix="0" xfId="0">
      <alignment wrapText="1"/>
    </xf>
    <xf numFmtId="0" fontId="61" fillId="16" borderId="108" applyAlignment="1" pivotButton="0" quotePrefix="0" xfId="0">
      <alignment wrapText="1"/>
    </xf>
    <xf numFmtId="0" fontId="61" fillId="16" borderId="109" applyAlignment="1" pivotButton="0" quotePrefix="0" xfId="0">
      <alignment wrapText="1"/>
    </xf>
    <xf numFmtId="0" fontId="61" fillId="16" borderId="107" applyAlignment="1" pivotButton="0" quotePrefix="0" xfId="0">
      <alignment wrapText="1"/>
    </xf>
    <xf numFmtId="0" fontId="61" fillId="16" borderId="106" applyAlignment="1" pivotButton="0" quotePrefix="0" xfId="0">
      <alignment wrapText="1"/>
    </xf>
    <xf numFmtId="0" fontId="67" fillId="0" borderId="20" applyAlignment="1" pivotButton="0" quotePrefix="0" xfId="0">
      <alignment horizontal="center" wrapText="1"/>
    </xf>
    <xf numFmtId="0" fontId="0" fillId="0" borderId="116" applyAlignment="1" pivotButton="0" quotePrefix="0" xfId="0">
      <alignment horizontal="center"/>
    </xf>
    <xf numFmtId="0" fontId="0" fillId="0" borderId="117" applyAlignment="1" pivotButton="0" quotePrefix="0" xfId="0">
      <alignment horizontal="center"/>
    </xf>
    <xf numFmtId="0" fontId="0" fillId="0" borderId="59" applyAlignment="1" pivotButton="0" quotePrefix="0" xfId="0">
      <alignment horizontal="center"/>
    </xf>
    <xf numFmtId="0" fontId="0" fillId="0" borderId="0" applyAlignment="1" pivotButton="0" quotePrefix="0" xfId="0">
      <alignment horizontal="center"/>
    </xf>
    <xf numFmtId="0" fontId="0" fillId="0" borderId="60" applyAlignment="1" pivotButton="0" quotePrefix="0" xfId="0">
      <alignment horizontal="center"/>
    </xf>
    <xf numFmtId="0" fontId="0" fillId="0" borderId="61" applyAlignment="1" pivotButton="0" quotePrefix="0" xfId="0">
      <alignment horizontal="center"/>
    </xf>
    <xf numFmtId="0" fontId="0" fillId="0" borderId="118" applyAlignment="1" pivotButton="0" quotePrefix="0" xfId="0">
      <alignment horizontal="center"/>
    </xf>
    <xf numFmtId="0" fontId="0" fillId="0" borderId="62" applyAlignment="1" pivotButton="0" quotePrefix="0" xfId="0">
      <alignment horizontal="center"/>
    </xf>
    <xf numFmtId="0" fontId="0" fillId="0" borderId="116" applyAlignment="1" pivotButton="0" quotePrefix="0" xfId="0">
      <alignment horizontal="center" wrapText="1"/>
    </xf>
    <xf numFmtId="0" fontId="0" fillId="0" borderId="117" applyAlignment="1" pivotButton="0" quotePrefix="0" xfId="0">
      <alignment horizontal="center" wrapText="1"/>
    </xf>
    <xf numFmtId="0" fontId="0" fillId="0" borderId="59" applyAlignment="1" pivotButton="0" quotePrefix="0" xfId="0">
      <alignment horizontal="center" wrapText="1"/>
    </xf>
    <xf numFmtId="0" fontId="0" fillId="0" borderId="0" applyAlignment="1" pivotButton="0" quotePrefix="0" xfId="0">
      <alignment horizontal="center" wrapText="1"/>
    </xf>
    <xf numFmtId="0" fontId="0" fillId="0" borderId="60" applyAlignment="1" pivotButton="0" quotePrefix="0" xfId="0">
      <alignment horizontal="center" wrapText="1"/>
    </xf>
    <xf numFmtId="0" fontId="0" fillId="0" borderId="61" applyAlignment="1" pivotButton="0" quotePrefix="0" xfId="0">
      <alignment horizontal="center" wrapText="1"/>
    </xf>
    <xf numFmtId="0" fontId="0" fillId="0" borderId="118" applyAlignment="1" pivotButton="0" quotePrefix="0" xfId="0">
      <alignment horizontal="center" wrapText="1"/>
    </xf>
    <xf numFmtId="0" fontId="0" fillId="0" borderId="62" applyAlignment="1" pivotButton="0" quotePrefix="0" xfId="0">
      <alignment horizontal="center" wrapText="1"/>
    </xf>
    <xf numFmtId="0" fontId="36" fillId="0" borderId="7" applyAlignment="1" pivotButton="0" quotePrefix="0" xfId="0">
      <alignment wrapText="1"/>
    </xf>
    <xf numFmtId="0" fontId="35" fillId="14" borderId="14" applyAlignment="1" pivotButton="0" quotePrefix="0" xfId="0">
      <alignment wrapText="1"/>
    </xf>
    <xf numFmtId="0" fontId="35" fillId="14" borderId="15" applyAlignment="1" pivotButton="0" quotePrefix="0" xfId="0">
      <alignment wrapText="1"/>
    </xf>
    <xf numFmtId="0" fontId="35" fillId="13" borderId="7" applyAlignment="1" pivotButton="0" quotePrefix="0" xfId="0">
      <alignment horizontal="center" wrapText="1"/>
    </xf>
    <xf numFmtId="0" fontId="17" fillId="0" borderId="7" applyAlignment="1" pivotButton="0" quotePrefix="0" xfId="0">
      <alignment wrapText="1"/>
    </xf>
    <xf numFmtId="0" fontId="36" fillId="0" borderId="18" applyAlignment="1" pivotButton="0" quotePrefix="0" xfId="0">
      <alignment wrapText="1"/>
    </xf>
    <xf numFmtId="0" fontId="36" fillId="0" borderId="110" applyAlignment="1" pivotButton="0" quotePrefix="0" xfId="0">
      <alignment wrapText="1"/>
    </xf>
    <xf numFmtId="0" fontId="36" fillId="0" borderId="21" applyAlignment="1" pivotButton="0" quotePrefix="0" xfId="0">
      <alignment wrapText="1"/>
    </xf>
    <xf numFmtId="0" fontId="35" fillId="14" borderId="17" applyAlignment="1" pivotButton="0" quotePrefix="0" xfId="0">
      <alignment horizontal="center" wrapText="1"/>
    </xf>
    <xf numFmtId="0" fontId="35" fillId="14" borderId="2" applyAlignment="1" pivotButton="0" quotePrefix="0" xfId="0">
      <alignment horizontal="center" wrapText="1"/>
    </xf>
    <xf numFmtId="0" fontId="35" fillId="14" borderId="52" applyAlignment="1" pivotButton="0" quotePrefix="0" xfId="0">
      <alignment horizontal="center" wrapText="1"/>
    </xf>
    <xf numFmtId="0" fontId="35" fillId="14" borderId="53" applyAlignment="1" pivotButton="0" quotePrefix="0" xfId="0">
      <alignment horizontal="center" wrapText="1"/>
    </xf>
    <xf numFmtId="0" fontId="35" fillId="14" borderId="54" applyAlignment="1" pivotButton="0" quotePrefix="0" xfId="0">
      <alignment horizontal="center" wrapText="1"/>
    </xf>
    <xf numFmtId="0" fontId="35" fillId="13" borderId="51" applyAlignment="1" pivotButton="0" quotePrefix="0" xfId="0">
      <alignment horizontal="center" wrapText="1"/>
    </xf>
    <xf numFmtId="0" fontId="35" fillId="13" borderId="24" applyAlignment="1" pivotButton="0" quotePrefix="0" xfId="0">
      <alignment horizontal="center" wrapText="1"/>
    </xf>
    <xf numFmtId="0" fontId="35" fillId="13" borderId="51" applyAlignment="1" pivotButton="0" quotePrefix="0" xfId="0">
      <alignment wrapText="1"/>
    </xf>
    <xf numFmtId="0" fontId="35" fillId="13" borderId="24" applyAlignment="1" pivotButton="0" quotePrefix="0" xfId="0">
      <alignment wrapText="1"/>
    </xf>
    <xf numFmtId="0" fontId="35" fillId="13" borderId="47" applyAlignment="1" pivotButton="0" quotePrefix="0" xfId="0">
      <alignment wrapText="1"/>
    </xf>
    <xf numFmtId="0" fontId="35" fillId="13" borderId="22" applyAlignment="1" pivotButton="0" quotePrefix="0" xfId="0">
      <alignment wrapText="1"/>
    </xf>
    <xf numFmtId="0" fontId="35" fillId="13" borderId="59" applyAlignment="1" pivotButton="0" quotePrefix="0" xfId="0">
      <alignment horizontal="center" wrapText="1"/>
    </xf>
    <xf numFmtId="0" fontId="35" fillId="13" borderId="60" applyAlignment="1" pivotButton="0" quotePrefix="0" xfId="0">
      <alignment horizontal="center" wrapText="1"/>
    </xf>
    <xf numFmtId="0" fontId="35" fillId="13" borderId="50" applyAlignment="1" pivotButton="0" quotePrefix="0" xfId="0">
      <alignment wrapText="1"/>
    </xf>
    <xf numFmtId="0" fontId="35" fillId="13" borderId="43" applyAlignment="1" pivotButton="0" quotePrefix="0" xfId="0">
      <alignment wrapText="1"/>
    </xf>
    <xf numFmtId="0" fontId="35" fillId="13" borderId="46" applyAlignment="1" pivotButton="0" quotePrefix="0" xfId="0">
      <alignment wrapText="1"/>
    </xf>
    <xf numFmtId="0" fontId="35" fillId="13" borderId="23" applyAlignment="1" pivotButton="0" quotePrefix="0" xfId="0">
      <alignment wrapText="1"/>
    </xf>
    <xf numFmtId="0" fontId="35" fillId="13" borderId="32" applyAlignment="1" pivotButton="0" quotePrefix="0" xfId="0">
      <alignment wrapText="1"/>
    </xf>
    <xf numFmtId="0" fontId="35" fillId="13" borderId="17" applyAlignment="1" pivotButton="0" quotePrefix="0" xfId="0">
      <alignment wrapText="1"/>
    </xf>
    <xf numFmtId="0" fontId="35" fillId="13" borderId="61" applyAlignment="1" pivotButton="0" quotePrefix="0" xfId="0">
      <alignment horizontal="center" wrapText="1"/>
    </xf>
    <xf numFmtId="0" fontId="35" fillId="13" borderId="62" applyAlignment="1" pivotButton="0" quotePrefix="0" xfId="0">
      <alignment horizontal="center" wrapText="1"/>
    </xf>
    <xf numFmtId="0" fontId="35" fillId="14" borderId="33" applyAlignment="1" pivotButton="0" quotePrefix="0" xfId="0">
      <alignment horizontal="center" wrapText="1"/>
    </xf>
    <xf numFmtId="0" fontId="35" fillId="14" borderId="34" applyAlignment="1" pivotButton="0" quotePrefix="0" xfId="0">
      <alignment horizontal="center" wrapText="1"/>
    </xf>
    <xf numFmtId="0" fontId="35" fillId="14" borderId="84" applyAlignment="1" pivotButton="0" quotePrefix="0" xfId="0">
      <alignment horizontal="center" wrapText="1"/>
    </xf>
    <xf numFmtId="0" fontId="35" fillId="14" borderId="86" applyAlignment="1" pivotButton="0" quotePrefix="0" xfId="0">
      <alignment horizontal="center" wrapText="1"/>
    </xf>
    <xf numFmtId="0" fontId="35" fillId="14" borderId="35" applyAlignment="1" pivotButton="0" quotePrefix="0" xfId="0">
      <alignment horizontal="center" wrapText="1"/>
    </xf>
    <xf numFmtId="0" fontId="35" fillId="13" borderId="32" applyAlignment="1" pivotButton="0" quotePrefix="0" xfId="0">
      <alignment horizontal="center" wrapText="1"/>
    </xf>
    <xf numFmtId="0" fontId="35" fillId="13" borderId="17" applyAlignment="1" pivotButton="0" quotePrefix="0" xfId="0">
      <alignment horizontal="center" wrapText="1"/>
    </xf>
    <xf numFmtId="0" fontId="35" fillId="13" borderId="48" applyAlignment="1" pivotButton="0" quotePrefix="0" xfId="0">
      <alignment horizontal="center" wrapText="1"/>
    </xf>
    <xf numFmtId="0" fontId="35" fillId="13" borderId="49" applyAlignment="1" pivotButton="0" quotePrefix="0" xfId="0">
      <alignment horizontal="center" wrapText="1"/>
    </xf>
    <xf numFmtId="0" fontId="35" fillId="14" borderId="91" applyAlignment="1" pivotButton="0" quotePrefix="0" xfId="0">
      <alignment horizontal="center" wrapText="1"/>
    </xf>
    <xf numFmtId="0" fontId="35" fillId="13" borderId="50" applyAlignment="1" pivotButton="0" quotePrefix="0" xfId="0">
      <alignment horizontal="center" wrapText="1"/>
    </xf>
    <xf numFmtId="0" fontId="35" fillId="13" borderId="43" applyAlignment="1" pivotButton="0" quotePrefix="0" xfId="0">
      <alignment horizontal="center" wrapText="1"/>
    </xf>
    <xf numFmtId="0" fontId="35" fillId="13" borderId="47" applyAlignment="1" pivotButton="0" quotePrefix="0" xfId="0">
      <alignment horizontal="center" wrapText="1"/>
    </xf>
    <xf numFmtId="0" fontId="35" fillId="13" borderId="22" applyAlignment="1" pivotButton="0" quotePrefix="0" xfId="0">
      <alignment horizontal="center" wrapText="1"/>
    </xf>
    <xf numFmtId="0" fontId="35" fillId="22" borderId="113" applyAlignment="1" pivotButton="0" quotePrefix="0" xfId="0">
      <alignment horizontal="center"/>
    </xf>
    <xf numFmtId="0" fontId="35" fillId="22" borderId="0" applyAlignment="1" pivotButton="0" quotePrefix="0" xfId="0">
      <alignment horizontal="center"/>
    </xf>
    <xf numFmtId="0" fontId="38" fillId="0" borderId="0" pivotButton="0" quotePrefix="0" xfId="0"/>
    <xf numFmtId="0" fontId="55" fillId="5" borderId="143" applyAlignment="1" pivotButton="0" quotePrefix="0" xfId="0">
      <alignment wrapText="1"/>
    </xf>
    <xf numFmtId="0" fontId="0" fillId="0" borderId="93" pivotButton="0" quotePrefix="0" xfId="0"/>
    <xf numFmtId="0" fontId="0" fillId="0" borderId="94" pivotButton="0" quotePrefix="0" xfId="0"/>
    <xf numFmtId="0" fontId="0" fillId="0" borderId="96" pivotButton="0" quotePrefix="0" xfId="0"/>
    <xf numFmtId="0" fontId="0" fillId="0" borderId="99" pivotButton="0" quotePrefix="0" xfId="0"/>
    <xf numFmtId="0" fontId="0" fillId="0" borderId="106" pivotButton="0" quotePrefix="0" xfId="0"/>
    <xf numFmtId="0" fontId="59" fillId="16" borderId="144" applyAlignment="1" pivotButton="0" quotePrefix="0" xfId="0">
      <alignment wrapText="1"/>
    </xf>
    <xf numFmtId="0" fontId="0" fillId="0" borderId="108" pivotButton="0" quotePrefix="0" xfId="0"/>
    <xf numFmtId="0" fontId="60" fillId="16" borderId="143" applyAlignment="1" pivotButton="0" quotePrefix="0" xfId="0">
      <alignment wrapText="1"/>
    </xf>
    <xf numFmtId="0" fontId="61" fillId="16" borderId="144" applyAlignment="1" pivotButton="0" quotePrefix="0" xfId="0">
      <alignment wrapText="1"/>
    </xf>
    <xf numFmtId="0" fontId="61" fillId="16" borderId="145" applyAlignment="1" pivotButton="0" quotePrefix="0" xfId="0">
      <alignment wrapText="1"/>
    </xf>
    <xf numFmtId="0" fontId="0" fillId="0" borderId="107" pivotButton="0" quotePrefix="0" xfId="0"/>
    <xf numFmtId="0" fontId="0" fillId="0" borderId="15" pivotButton="0" quotePrefix="0" xfId="0"/>
    <xf numFmtId="0" fontId="0" fillId="0" borderId="110" pivotButton="0" quotePrefix="0" xfId="0"/>
    <xf numFmtId="0" fontId="0" fillId="0" borderId="21" pivotButton="0" quotePrefix="0" xfId="0"/>
    <xf numFmtId="0" fontId="67" fillId="0" borderId="7" applyAlignment="1" pivotButton="0" quotePrefix="0" xfId="0">
      <alignment horizontal="center" wrapText="1"/>
    </xf>
    <xf numFmtId="0" fontId="0" fillId="0" borderId="116" pivotButton="0" quotePrefix="0" xfId="0"/>
    <xf numFmtId="0" fontId="0" fillId="0" borderId="117"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118" pivotButton="0" quotePrefix="0" xfId="0"/>
    <xf numFmtId="0" fontId="0" fillId="0" borderId="62" pivotButton="0" quotePrefix="0" xfId="0"/>
    <xf numFmtId="0" fontId="0" fillId="0" borderId="2" pivotButton="0" quotePrefix="0" xfId="0"/>
    <xf numFmtId="0" fontId="35" fillId="14" borderId="146" applyAlignment="1" pivotButton="0" quotePrefix="0" xfId="0">
      <alignment horizontal="center" wrapText="1"/>
    </xf>
    <xf numFmtId="0" fontId="0" fillId="0" borderId="34" pivotButton="0" quotePrefix="0" xfId="0"/>
    <xf numFmtId="0" fontId="0" fillId="0" borderId="35" pivotButton="0" quotePrefix="0" xfId="0"/>
    <xf numFmtId="0" fontId="35" fillId="14" borderId="149" applyAlignment="1" pivotButton="0" quotePrefix="0" xfId="0">
      <alignment horizontal="center" wrapText="1"/>
    </xf>
    <xf numFmtId="0" fontId="0" fillId="0" borderId="53" pivotButton="0" quotePrefix="0" xfId="0"/>
    <xf numFmtId="0" fontId="0" fillId="0" borderId="54" pivotButton="0" quotePrefix="0" xfId="0"/>
    <xf numFmtId="0" fontId="35" fillId="13" borderId="148" applyAlignment="1" pivotButton="0" quotePrefix="0" xfId="0">
      <alignment horizontal="center" wrapText="1"/>
    </xf>
    <xf numFmtId="0" fontId="0" fillId="0" borderId="49" pivotButton="0" quotePrefix="0" xfId="0"/>
    <xf numFmtId="0" fontId="0" fillId="0" borderId="23" pivotButton="0" quotePrefix="0" xfId="0"/>
    <xf numFmtId="0" fontId="0" fillId="0" borderId="43" pivotButton="0" quotePrefix="0" xfId="0"/>
    <xf numFmtId="0" fontId="0" fillId="0" borderId="17" pivotButton="0" quotePrefix="0" xfId="0"/>
    <xf numFmtId="0" fontId="0" fillId="0" borderId="22" pivotButton="0" quotePrefix="0" xfId="0"/>
    <xf numFmtId="0" fontId="0" fillId="0" borderId="24" pivotButton="0" quotePrefix="0" xfId="0"/>
    <xf numFmtId="0" fontId="35" fillId="13" borderId="150" applyAlignment="1" pivotButton="0" quotePrefix="0" xfId="0">
      <alignment horizontal="center" wrapText="1"/>
    </xf>
    <xf numFmtId="0" fontId="35" fillId="13" borderId="19" applyAlignment="1" pivotButton="0" quotePrefix="0" xfId="0">
      <alignment horizontal="center" wrapText="1"/>
    </xf>
  </cellXfs>
  <cellStyles count="20">
    <cellStyle name="Normal" xfId="0" builtinId="0"/>
    <cellStyle name="Excel Built-in Normal" xfId="1"/>
    <cellStyle name="Hyperlink" xfId="2" builtinId="8"/>
    <cellStyle name="Normal 2" xfId="3"/>
    <cellStyle name="Normal 3" xfId="4"/>
    <cellStyle name="Excel Built-in Hyperlink" xfId="5"/>
    <cellStyle name="Excel Built-in Normal 2" xfId="6"/>
    <cellStyle name="Heading" xfId="7"/>
    <cellStyle name="Heading1" xfId="8"/>
    <cellStyle name="Result" xfId="9"/>
    <cellStyle name="Result2" xfId="10"/>
    <cellStyle name="Normal 2 2" xfId="11"/>
    <cellStyle name="Excel Built-in Normal 3" xfId="12"/>
    <cellStyle name="Normal 4" xfId="13"/>
    <cellStyle name="Normal 5" xfId="14"/>
    <cellStyle name="Excel Built-in Normal 4" xfId="15"/>
    <cellStyle name="Normal 6" xfId="16"/>
    <cellStyle name="Excel Built-in Normal 5" xfId="17"/>
    <cellStyle name="Normal 7" xfId="18"/>
    <cellStyle name="Excel Built-in Normal 6" xfId="19"/>
  </cellStyles>
  <dxfs count="34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C6EF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C6EF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C6EFCE"/>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C6EF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ill>
        <patternFill>
          <bgColor rgb="FFC6EFCE"/>
        </patternFill>
      </fill>
    </dxf>
    <dxf>
      <fill>
        <patternFill>
          <bgColor rgb="FFFFC7CE"/>
        </patternFill>
      </fill>
    </dxf>
    <dxf>
      <font>
        <color rgb="FF9C0006"/>
      </font>
      <fill>
        <patternFill>
          <bgColor rgb="FFFFC7CE"/>
        </patternFill>
      </fill>
    </dxf>
    <dxf>
      <font>
        <color rgb="FF006100"/>
      </font>
      <fill>
        <patternFill>
          <bgColor rgb="FFC6EFCE"/>
        </patternFill>
      </fill>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amily val="2"/>
        <strike val="0"/>
        <outline val="0"/>
        <shadow val="0"/>
        <condense val="0"/>
        <color auto="1"/>
        <extend val="0"/>
        <sz val="10"/>
        <vertAlign val="baseline"/>
      </font>
      <protection locked="1" hidden="1"/>
    </dxf>
    <dxf>
      <font>
        <name val="Calibri"/>
        <family val="2"/>
        <strike val="0"/>
        <outline val="0"/>
        <shadow val="0"/>
        <condense val="0"/>
        <color auto="1"/>
        <extend val="0"/>
        <sz val="10"/>
        <vertAlign val="baseline"/>
      </font>
      <protection locked="1" hidden="1"/>
    </dxf>
    <dxf>
      <font>
        <name val="Calibri"/>
        <family val="2"/>
        <strike val="0"/>
        <outline val="0"/>
        <shadow val="0"/>
        <condense val="0"/>
        <color auto="1"/>
        <extend val="0"/>
        <sz val="10"/>
        <vertAlign val="baseline"/>
      </font>
      <protection locked="1" hidden="1"/>
    </dxf>
    <dxf>
      <font>
        <name val="Calibri"/>
        <family val="2"/>
        <strike val="0"/>
        <outline val="0"/>
        <shadow val="0"/>
        <condense val="0"/>
        <color auto="1"/>
        <extend val="0"/>
        <sz val="10"/>
        <vertAlign val="baseline"/>
      </font>
      <protection locked="1" hidden="1"/>
    </dxf>
    <dxf>
      <font>
        <name val="Calibri"/>
        <strike val="0"/>
        <outline val="0"/>
        <shadow val="0"/>
        <condense val="0"/>
        <color theme="1"/>
        <extend val="0"/>
        <sz val="10"/>
        <vertAlign val="baseline"/>
      </font>
      <protection locked="1" hidden="1"/>
    </dxf>
    <dxf>
      <font>
        <name val="Calibri"/>
        <strike val="0"/>
        <outline val="0"/>
        <shadow val="0"/>
        <condense val="0"/>
        <color theme="1"/>
        <extend val="0"/>
        <sz val="10"/>
        <vertAlign val="baseline"/>
      </font>
      <border>
        <left/>
        <right/>
        <top style="thin">
          <color theme="5"/>
        </top>
        <bottom/>
        <vertical/>
        <horizontal/>
      </border>
      <protection locked="1" hidden="1"/>
    </dxf>
    <dxf>
      <font>
        <name val="Calibri"/>
        <strike val="0"/>
        <outline val="0"/>
        <shadow val="0"/>
        <condense val="0"/>
        <color theme="1"/>
        <extend val="0"/>
        <sz val="10"/>
        <vertAlign val="baseline"/>
      </font>
      <fill>
        <patternFill patternType="solid">
          <fgColor indexed="64"/>
          <bgColor rgb="FFE2EFDA"/>
        </patternFill>
      </fill>
      <border>
        <left/>
        <right/>
        <top style="thin">
          <color theme="5"/>
        </top>
        <bottom/>
      </border>
      <protection locked="1" hidden="1"/>
    </dxf>
    <dxf>
      <font>
        <name val="Calibri"/>
        <strike val="0"/>
        <outline val="0"/>
        <shadow val="0"/>
        <condense val="0"/>
        <color theme="1"/>
        <extend val="0"/>
        <sz val="10"/>
        <vertAlign val="baseline"/>
      </font>
      <border>
        <left/>
        <right/>
        <top style="thin">
          <color theme="5"/>
        </top>
        <bottom/>
        <vertical/>
        <horizontal/>
      </border>
      <protection locked="1" hidden="1"/>
    </dxf>
    <dxf>
      <border outline="0">
        <left style="thin">
          <color theme="5"/>
        </left>
        <top style="thin">
          <color theme="5"/>
        </top>
      </border>
    </dxf>
    <dxf>
      <font>
        <name val="Calibri"/>
        <strike val="0"/>
        <outline val="0"/>
        <shadow val="0"/>
        <condense val="0"/>
        <color theme="1"/>
        <extend val="0"/>
        <sz val="10"/>
        <vertAlign val="baseline"/>
      </font>
      <protection locked="1" hidden="1"/>
    </dxf>
    <dxf>
      <font>
        <name val="Calibri"/>
        <b val="1"/>
        <strike val="0"/>
        <outline val="0"/>
        <shadow val="0"/>
        <condense val="0"/>
        <color theme="0"/>
        <extend val="0"/>
        <sz val="10"/>
        <vertAlign val="baseline"/>
      </font>
      <fill>
        <patternFill patternType="solid">
          <fgColor theme="5"/>
          <bgColor theme="5"/>
        </patternFill>
      </fill>
      <protection locked="1" hidden="1"/>
    </dxf>
    <dxf>
      <font>
        <name val="Calibri"/>
        <strike val="0"/>
        <outline val="0"/>
        <shadow val="0"/>
        <condense val="0"/>
        <color auto="1"/>
        <extend val="0"/>
        <sz val="10"/>
        <vertAlign val="baseline"/>
      </font>
      <protection locked="1" hidden="1"/>
    </dxf>
    <dxf>
      <font>
        <name val="Calibri"/>
        <strike val="0"/>
        <outline val="0"/>
        <shadow val="0"/>
        <condense val="0"/>
        <color auto="1"/>
        <extend val="0"/>
        <sz val="10"/>
        <vertAlign val="baseline"/>
      </font>
      <protection locked="1" hidden="1"/>
    </dxf>
    <dxf>
      <font>
        <name val="Calibri"/>
        <strike val="0"/>
        <outline val="0"/>
        <shadow val="0"/>
        <condense val="0"/>
        <color auto="1"/>
        <extend val="0"/>
        <sz val="10"/>
        <vertAlign val="baseline"/>
      </font>
      <protection locked="1" hidden="1"/>
    </dxf>
    <dxf>
      <font>
        <name val="Calibri"/>
        <strike val="0"/>
        <outline val="0"/>
        <shadow val="0"/>
        <condense val="0"/>
        <color auto="1"/>
        <extend val="0"/>
        <sz val="10"/>
        <vertAlign val="baseline"/>
      </font>
      <protection locked="1" hidden="1"/>
    </dxf>
    <dxf>
      <font>
        <name val="Calibri"/>
        <strike val="0"/>
        <outline val="0"/>
        <shadow val="0"/>
        <condense val="0"/>
        <color auto="1"/>
        <extend val="0"/>
        <sz val="10"/>
        <vertAlign val="baseline"/>
      </font>
      <protection locked="1" hidden="1"/>
    </dxf>
    <dxf>
      <font>
        <name val="Calibri"/>
        <strike val="0"/>
        <outline val="0"/>
        <shadow val="0"/>
        <condense val="0"/>
        <color theme="1"/>
        <extend val="0"/>
        <sz val="10"/>
        <vertAlign val="baseline"/>
      </font>
      <border>
        <left/>
        <right/>
        <top style="thin">
          <color theme="5"/>
        </top>
        <bottom/>
        <vertical/>
        <horizontal/>
      </border>
      <protection locked="1" hidden="1"/>
    </dxf>
    <dxf>
      <font>
        <name val="Calibri"/>
        <strike val="0"/>
        <outline val="0"/>
        <shadow val="0"/>
        <condense val="0"/>
        <color theme="1"/>
        <extend val="0"/>
        <sz val="10"/>
        <vertAlign val="baseline"/>
      </font>
      <border>
        <left/>
        <right/>
        <top style="thin">
          <color theme="5"/>
        </top>
        <bottom/>
        <vertical/>
        <horizontal/>
      </border>
      <protection locked="1" hidden="1"/>
    </dxf>
    <dxf>
      <font>
        <name val="Calibri"/>
        <strike val="0"/>
        <outline val="0"/>
        <shadow val="0"/>
        <condense val="0"/>
        <color theme="1"/>
        <extend val="0"/>
        <sz val="10"/>
        <vertAlign val="baseline"/>
      </font>
      <border>
        <left/>
        <right/>
        <top style="thin">
          <color theme="5"/>
        </top>
        <bottom/>
        <vertical/>
        <horizontal/>
      </border>
      <protection locked="1" hidden="1"/>
    </dxf>
    <dxf>
      <border outline="0">
        <left style="thin">
          <color theme="5"/>
        </left>
      </border>
    </dxf>
    <dxf>
      <font>
        <name val="Calibri"/>
        <strike val="0"/>
        <outline val="0"/>
        <shadow val="0"/>
        <condense val="0"/>
        <color auto="1"/>
        <extend val="0"/>
        <sz val="10"/>
        <vertAlign val="baseline"/>
      </font>
      <protection locked="1" hidden="1"/>
    </dxf>
    <dxf>
      <font>
        <name val="Calibri"/>
        <strike val="0"/>
        <outline val="0"/>
        <shadow val="0"/>
        <condense val="0"/>
        <color auto="1"/>
        <extend val="0"/>
        <sz val="10"/>
        <vertAlign val="baseline"/>
      </font>
      <alignment horizontal="center" vertical="bottom"/>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protection locked="1" hidden="1"/>
    </dxf>
    <dxf>
      <font>
        <name val="Calibri"/>
        <strike val="0"/>
        <outline val="0"/>
        <shadow val="0"/>
        <condense val="0"/>
        <color auto="1"/>
        <extend val="0"/>
        <sz val="10"/>
        <vertAlign val="baseline"/>
      </font>
      <protection locked="1" hidden="1"/>
    </dxf>
    <dxf>
      <protection locked="1" hidden="1"/>
    </dxf>
    <dxf>
      <font>
        <name val="Calibri"/>
        <strike val="0"/>
        <outline val="0"/>
        <shadow val="0"/>
        <condense val="0"/>
        <color auto="1"/>
        <extend val="0"/>
        <sz val="10"/>
        <vertAlign val="baseline"/>
      </font>
      <protection locked="1" hidden="1"/>
    </dxf>
    <dxf>
      <font>
        <name val="Calibri"/>
        <strike val="0"/>
        <outline val="0"/>
        <shadow val="0"/>
        <condense val="0"/>
        <color auto="1"/>
        <extend val="0"/>
        <sz val="10"/>
        <vertAlign val="baseline"/>
      </font>
      <protection locked="1" hidden="1"/>
    </dxf>
    <dxf>
      <font>
        <name val="Calibri"/>
        <strike val="0"/>
        <outline val="0"/>
        <shadow val="0"/>
        <condense val="0"/>
        <color auto="1"/>
        <extend val="0"/>
        <sz val="10"/>
        <vertAlign val="baseline"/>
      </font>
      <protection locked="1" hidden="1"/>
    </dxf>
    <dxf>
      <font>
        <name val="Calibri"/>
        <strike val="0"/>
        <outline val="0"/>
        <shadow val="0"/>
        <condense val="0"/>
        <color auto="1"/>
        <extend val="0"/>
        <sz val="10"/>
        <vertAlign val="baseline"/>
      </font>
      <protection locked="1" hidden="1"/>
    </dxf>
    <dxf>
      <font>
        <name val="Calibri"/>
        <strike val="0"/>
        <outline val="0"/>
        <shadow val="0"/>
        <condense val="0"/>
        <color auto="1"/>
        <extend val="0"/>
        <sz val="10"/>
        <vertAlign val="baseline"/>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b val="1"/>
        <strike val="0"/>
        <outline val="0"/>
        <shadow val="0"/>
        <condense val="0"/>
        <color auto="1"/>
        <extend val="0"/>
        <sz val="10"/>
        <vertAlign val="baseline"/>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b val="1"/>
        <strike val="0"/>
        <outline val="0"/>
        <shadow val="0"/>
        <condense val="0"/>
        <color auto="1"/>
        <extend val="0"/>
        <sz val="10"/>
        <vertAlign val="baseline"/>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
      <font>
        <name val="Calibri"/>
      </font>
      <protection locked="1" hidden="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C0C0C0"/>
      <rgbColor rgb="00808080"/>
      <rgbColor rgb="009999FF"/>
      <rgbColor rgb="00C0504D"/>
      <rgbColor rgb="00FFFFCC"/>
      <rgbColor rgb="00DBE5F1"/>
      <rgbColor rgb="00660066"/>
      <rgbColor rgb="00FF8080"/>
      <rgbColor rgb="000066CC"/>
      <rgbColor rgb="00C6D9F1"/>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4BACC6"/>
      <rgbColor rgb="0099CC00"/>
      <rgbColor rgb="00FFCC00"/>
      <rgbColor rgb="00FF9900"/>
      <rgbColor rgb="00FF6600"/>
      <rgbColor rgb="004F81BD"/>
      <rgbColor rgb="00969696"/>
      <rgbColor rgb="00002060"/>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tc={21DD7679-F666-4120-9EAE-6674B0BEB5BB}</author>
    <author>tc={643787F7-644A-4F7E-AF99-FE96527BE22F}</author>
    <author>tc={567D65E6-A8BB-46D5-982C-D5C0128D2DD4}</author>
    <author>tc={8AB590AC-7EAD-4854-82ED-2463384ACA4E}</author>
    <author>tc={41615CEE-8C4D-4AEE-BDA9-18473B837819}</author>
    <author>tc={EF9B1C80-97C8-4074-91EC-4A68F1E10C8A}</author>
    <author>tc={7126B271-1AA3-4B8F-8392-855F77D5F3C8}</author>
    <author>tc={973A77DE-45A0-4B71-B735-935823EA90CB}</author>
    <author>tc={81CB4807-C902-4259-8F72-95C392055F3C}</author>
    <author>tc={1A15C747-3D6E-4D71-86BD-2A622EE21491}</author>
    <author>tc={51BFCBEE-4B3F-4256-B69C-7FF49C971E6B}</author>
    <author>tc={E95B75BD-7692-4B03-85B4-043595E9F5B4}</author>
    <author>tc={C3ADAD6C-6159-4D4A-9A9A-CE7A1A0A682F}</author>
    <author>tc={4DDC2B3E-A2FE-4B74-A70C-567457FBE1A9}</author>
    <author>tc={A4EFCF6E-9F3B-410D-8AB2-021F4C9B4B41}</author>
    <author>tc={D7B114E6-E900-417A-A260-51F76E613C22}</author>
    <author>tc={493B58FE-82EE-405F-9D1B-C4CBA1680F92}</author>
    <author>tc={6DE030AB-9FF3-4E57-977B-0C245E1C696F}</author>
    <author>tc={50AAC0E2-E8C8-47FD-8323-A0BEFF6647CA}</author>
    <author>tc={ED44D737-5DE3-4B63-897A-6A5DB6C9521C}</author>
    <author>tc={A96A016E-F8FE-4E41-B875-D69D386829F8}</author>
    <author>tc={C5BE6002-D5EB-4650-BCF1-3C4D48CCBA20}</author>
    <author>tc={B15643BC-0FB9-4E66-9362-95E0341289FE}</author>
    <author>tc={134E3B57-E801-4225-9202-376548FCD330}</author>
    <author>tc={994D4210-5B16-4B1F-8B37-94B571A59E57}</author>
    <author>tc={E5F3BC93-C3D1-4FBD-A191-9623BF765C7C}</author>
    <author>tc={658C3EA6-5EBE-43ED-A319-69B72A7A4406}</author>
    <author>tc={6966D7BD-A275-4554-812D-CFA1AF5BB4C3}</author>
    <author>tc={51FFBBDF-33EB-4865-A7DB-7FE9B64913F5}</author>
    <author>tc={7010FF29-5C69-47ED-AFA4-995355D2E4C1}</author>
    <author>tc={6F316F63-17B1-4590-8C4B-45FFA79A01EC}</author>
  </authors>
  <commentList>
    <comment ref="C5" authorId="0" shapeId="0">
      <text>
        <t>[Threaded comment]
Your version of Excel allows you to read this threaded comment; however, any edits to it will get removed if the file is opened in a newer version of Excel. Learn more: https://go.microsoft.com/fwlink/?linkid=870924
Comment:
    Provide only numeric non-zero integer data. If not applicable, put 'NA'.</t>
      </text>
    </comment>
    <comment ref="D5" authorId="1" shapeId="0">
      <text>
        <t>[Threaded comment]
Your version of Excel allows you to read this threaded comment; however, any edits to it will get removed if the file is opened in a newer version of Excel. Learn more: https://go.microsoft.com/fwlink/?linkid=870924
Comment:
    Provide non-zero numeric value of number of cores. Decimal values are accepted. If not applicable, put 'NA'.</t>
      </text>
    </comment>
    <comment ref="E5" authorId="2" shapeId="0">
      <text>
        <t>[Threaded comment]
Your version of Excel allows you to read this threaded comment; however, any edits to it will get removed if the file is opened in a newer version of Excel. Learn more: https://go.microsoft.com/fwlink/?linkid=870924
Comment:
    Provide non-zero numeric value of RAM capacity in GB. Decimal values are accepted. If not applicable, put 'NA'.</t>
      </text>
    </comment>
    <comment ref="D22" authorId="3" shapeId="0">
      <text>
        <t>[Threaded comment]
Your version of Excel allows you to read this threaded comment; however, any edits to it will get removed if the file is opened in a newer version of Excel. Learn more: https://go.microsoft.com/fwlink/?linkid=870924
Comment:
    Ensure that name is provided for all key software components used in the Asset. Exclude components that are purely for the purpose of development or testing.</t>
      </text>
    </comment>
    <comment ref="E22" authorId="4" shapeId="0">
      <text>
        <t>[Threaded comment]
Your version of Excel allows you to read this threaded comment; however, any edits to it will get removed if the file is opened in a newer version of Excel. Learn more: https://go.microsoft.com/fwlink/?linkid=870924
Comment:
    Ensure that appropriate version number is provided for the named software component.</t>
      </text>
    </comment>
    <comment ref="C60" authorId="5" shapeId="0">
      <text>
        <t>[Threaded comment]
Your version of Excel allows you to read this threaded comment; however, any edits to it will get removed if the file is opened in a newer version of Excel. Learn more: https://go.microsoft.com/fwlink/?linkid=870924
Comment:
    Provide only numeric integer data.</t>
      </text>
    </comment>
    <comment ref="D60" authorId="6" shapeId="0">
      <text>
        <t>[Threaded comment]
Your version of Excel allows you to read this threaded comment; however, any edits to it will get removed if the file is opened in a newer version of Excel. Learn more: https://go.microsoft.com/fwlink/?linkid=870924
Comment:
    Provide only numeric integer data. For online and report transactions combined together, the count of concurrent users must be equal to the sum of users of all user types concurrently doing transactions during the peak usage time.</t>
      </text>
    </comment>
    <comment ref="C96" authorId="7" shapeId="0">
      <text>
        <t>[Threaded comment]
Your version of Excel allows you to read this threaded comment; however, any edits to it will get removed if the file is opened in a newer version of Excel. Learn more: https://go.microsoft.com/fwlink/?linkid=870924
Comment:
    Provide a description not shorter than 5 characters long.</t>
      </text>
    </comment>
    <comment ref="H96" authorId="8" shapeId="0">
      <text>
        <t>[Threaded comment]
Your version of Excel allows you to read this threaded comment; however, any edits to it will get removed if the file is opened in a newer version of Excel. Learn more: https://go.microsoft.com/fwlink/?linkid=870924
Comment:
    Provide numeric integer data.
While distributing users against all key business and performance critical transactions, ensure that the sum of concurrent users on online and report transactions must be equal to the sum of users of all user types under column 'D' of 'User Types - Requirements' table in the 'Performance' tab of the sheet.</t>
      </text>
    </comment>
    <comment ref="I96" authorId="9" shapeId="0">
      <text>
        <t>[Threaded comment]
Your version of Excel allows you to read this threaded comment; however, any edits to it will get removed if the file is opened in a newer version of Excel. Learn more: https://go.microsoft.com/fwlink/?linkid=870924
Comment:
    Provide numeric rounded off integer value.
Throughput if known must be validated with Littles Law, which is stated as N=X(R+Z). 
N - Number of concurrent users for the transaction,
X - Throughput of the transaction; i.e., number of transaction, completions per unit time
R - Response time for the transaction or the Web page,
Z - The think time attributed considering the different form fields that must be filled prior to submitting the transaction/ request.
For example, the throughput calculation when N = 2; R = 2 seconds and Z = 3 seconds, will be  X = 2 / ((2 + 3) / (60 * 60)) = 1440 transactions per hour, or 1440 TPH</t>
      </text>
    </comment>
    <comment ref="F97" authorId="10" shapeId="0">
      <text>
        <t>[Threaded comment]
Your version of Excel allows you to read this threaded comment; however, any edits to it will get removed if the file is opened in a newer version of Excel. Learn more: https://go.microsoft.com/fwlink/?linkid=870924
Comment:
    Provide only numeric integer data.
If 90th Percentile SLA is above 5 secs, rationale for the same is mandatory to be provided in the same row in the 'Remarks' column.</t>
      </text>
    </comment>
    <comment ref="G97" authorId="11" shapeId="0">
      <text>
        <t>[Threaded comment]
Your version of Excel allows you to read this threaded comment; however, any edits to it will get removed if the file is opened in a newer version of Excel. Learn more: https://go.microsoft.com/fwlink/?linkid=870924
Comment:
    Provide only numeric integer data. Standard value of USLA can be up to 1.6 times the SLA value.</t>
      </text>
    </comment>
    <comment ref="G115" authorId="12" shapeId="0">
      <text>
        <t xml:space="preserve">[Threaded comment]
Your version of Excel allows you to read this threaded comment; however, any edits to it will get removed if the file is opened in a newer version of Excel. Learn more: https://go.microsoft.com/fwlink/?linkid=870924
Comment:
    Provide numeric integer data. </t>
      </text>
    </comment>
    <comment ref="H115" authorId="13" shapeId="0">
      <text>
        <t>[Threaded comment]
Your version of Excel allows you to read this threaded comment; however, any edits to it will get removed if the file is opened in a newer version of Excel. Learn more: https://go.microsoft.com/fwlink/?linkid=870924
Comment:
    Provide numeric data. Decimal values are accepted.</t>
      </text>
    </comment>
    <comment ref="E116" authorId="14" shapeId="0">
      <text>
        <t>[Threaded comment]
Your version of Excel allows you to read this threaded comment; however, any edits to it will get removed if the file is opened in a newer version of Excel. Learn more: https://go.microsoft.com/fwlink/?linkid=870924
Comment:
    Provide numeric data. Decimal values are accepted. Specify the unit of time used along with the numeric data
 * h - hour
 * m - minutes
 * s or sec - seconds</t>
      </text>
    </comment>
    <comment ref="F116" authorId="15" shapeId="0">
      <text>
        <t>[Threaded comment]
Your version of Excel allows you to read this threaded comment; however, any edits to it will get removed if the file is opened in a newer version of Excel. Learn more: https://go.microsoft.com/fwlink/?linkid=870924
Comment:
    Provide only numeric data. Decimal values are accepted. Standard value of USLA (Upper SLA) can be up to 1.6 times the SLA value. All other instructions for SLA apply here too.</t>
      </text>
    </comment>
    <comment ref="G124" authorId="16" shapeId="0">
      <text>
        <t>[Threaded comment]
Your version of Excel allows you to read this threaded comment; however, any edits to it will get removed if the file is opened in a newer version of Excel. Learn more: https://go.microsoft.com/fwlink/?linkid=870924
Comment:
    Provide numeric integer data.</t>
      </text>
    </comment>
    <comment ref="H124" authorId="17" shapeId="0">
      <text>
        <t>[Threaded comment]
Your version of Excel allows you to read this threaded comment; however, any edits to it will get removed if the file is opened in a newer version of Excel. Learn more: https://go.microsoft.com/fwlink/?linkid=870924
Comment:
    Provide numeric integer data.</t>
      </text>
    </comment>
    <comment ref="I124" authorId="18" shapeId="0">
      <text>
        <t>[Threaded comment]
Your version of Excel allows you to read this threaded comment; however, any edits to it will get removed if the file is opened in a newer version of Excel. Learn more: https://go.microsoft.com/fwlink/?linkid=870924
Comment:
    Provide numeric integer data.</t>
      </text>
    </comment>
    <comment ref="J124" authorId="19" shapeId="0">
      <text>
        <t>[Threaded comment]
Your version of Excel allows you to read this threaded comment; however, any edits to it will get removed if the file is opened in a newer version of Excel. Learn more: https://go.microsoft.com/fwlink/?linkid=870924
Comment:
    Provide numeric data. Decimal values are accepted.</t>
      </text>
    </comment>
    <comment ref="K124" authorId="20" shapeId="0">
      <text>
        <t>[Threaded comment]
Your version of Excel allows you to read this threaded comment; however, any edits to it will get removed if the file is opened in a newer version of Excel. Learn more: https://go.microsoft.com/fwlink/?linkid=870924
Comment:
    Provide numeric integer data.
While distributing users against all key business and performance critical transactions, ensure that the sum of concurrent users on online and report transactions must be equal to the sum of users of all user types under column 'D' of 'User Types - Requirements' table in the 'Performance' tab of the sheet.</t>
      </text>
    </comment>
    <comment ref="E125" authorId="21" shapeId="0">
      <text>
        <t xml:space="preserve">[Threaded comment]
Your version of Excel allows you to read this threaded comment; however, any edits to it will get removed if the file is opened in a newer version of Excel. Learn more: https://go.microsoft.com/fwlink/?linkid=870924
Comment:
    Provide numeric integer data. </t>
      </text>
    </comment>
    <comment ref="F125" authorId="22" shapeId="0">
      <text>
        <t>[Threaded comment]
Your version of Excel allows you to read this threaded comment; however, any edits to it will get removed if the file is opened in a newer version of Excel. Learn more: https://go.microsoft.com/fwlink/?linkid=870924
Comment:
    Provide only numeric integer data. Standard value of USLA (Upper SLA) can be up to 1.6 times the SLA value.</t>
      </text>
    </comment>
    <comment ref="C135" authorId="23" shapeId="0">
      <text>
        <t>[Threaded comment]
Your version of Excel allows you to read this threaded comment; however, any edits to it will get removed if the file is opened in a newer version of Excel. Learn more: https://go.microsoft.com/fwlink/?linkid=870924
Comment:
    Attach the tag 'Online'/ 'Batch'/ 'Report' to the tail of the short description of the transaction.</t>
      </text>
    </comment>
    <comment ref="D135" authorId="24" shapeId="0">
      <text>
        <t>[Threaded comment]
Your version of Excel allows you to read this threaded comment; however, any edits to it will get removed if the file is opened in a newer version of Excel. Learn more: https://go.microsoft.com/fwlink/?linkid=870924
Comment:
    List all tables related to the online, batch &amp; report transactions</t>
      </text>
    </comment>
    <comment ref="E135" authorId="25" shapeId="0">
      <text>
        <t>[Threaded comment]
Your version of Excel allows you to read this threaded comment; however, any edits to it will get removed if the file is opened in a newer version of Excel. Learn more: https://go.microsoft.com/fwlink/?linkid=870924
Comment:
    Provide numeric integer data.</t>
      </text>
    </comment>
    <comment ref="F135" authorId="26" shapeId="0">
      <text>
        <t>[Threaded comment]
Your version of Excel allows you to read this threaded comment; however, any edits to it will get removed if the file is opened in a newer version of Excel. Learn more: https://go.microsoft.com/fwlink/?linkid=870924
Comment:
    Provide numeric data. Decimal values are accepted.</t>
      </text>
    </comment>
    <comment ref="G135" authorId="27" shapeId="0">
      <text>
        <t>[Threaded comment]
Your version of Excel allows you to read this threaded comment; however, any edits to it will get removed if the file is opened in a newer version of Excel. Learn more: https://go.microsoft.com/fwlink/?linkid=870924
Comment:
    Provide numeric data. Decimal values are accepted.
This value must be greater than or equal to the value in the previous column.</t>
      </text>
    </comment>
    <comment ref="H135" authorId="28" shapeId="0">
      <text>
        <t>[Threaded comment]
Your version of Excel allows you to read this threaded comment; however, any edits to it will get removed if the file is opened in a newer version of Excel. Learn more: https://go.microsoft.com/fwlink/?linkid=870924
Comment:
    Comments can be alphanumeric.</t>
      </text>
    </comment>
    <comment ref="B149" authorId="29" shapeId="0">
      <text>
        <t>[Threaded comment]
Your version of Excel allows you to read this threaded comment; however, any edits to it will get removed if the file is opened in a newer version of Excel. Learn more: https://go.microsoft.com/fwlink/?linkid=870924
Comment:
    This is a fixed column. No changes anticipated to the data already present.</t>
      </text>
    </comment>
    <comment ref="D149" authorId="30" shapeId="0">
      <text>
        <t>[Threaded comment]
Your version of Excel allows you to read this threaded comment; however, any edits to it will get removed if the file is opened in a newer version of Excel. Learn more: https://go.microsoft.com/fwlink/?linkid=870924
Comment:
    Requirements are entered here. The data filled in it can be alpha-numeric.</t>
      </text>
    </comment>
  </commentList>
</comments>
</file>

<file path=xl/comments/comment2.xml><?xml version="1.0" encoding="utf-8"?>
<comments xmlns="http://schemas.openxmlformats.org/spreadsheetml/2006/main">
  <authors>
    <author>tc={63D28898-1DA4-448B-92FE-4D3F87A41387}</author>
    <author>tc={D97D1DE8-3CAC-4C45-ACD2-7D8088E35B16}</author>
    <author>tc={FD140A00-53B3-4328-98A7-03EB294E56B8}</author>
  </authors>
  <commentList>
    <comment ref="W10" authorId="0" shapeId="0">
      <text>
        <t>[Threaded comment]
Your version of Excel allows you to read this threaded comment; however, any edits to it will get removed if the file is opened in a newer version of Excel. Learn more: https://go.microsoft.com/fwlink/?linkid=870924
Comment:
    Check if this message can be displayed for a particular input.</t>
      </text>
    </comment>
    <comment ref="X24" authorId="1" shapeId="0">
      <text>
        <t>[Threaded comment]
Your version of Excel allows you to read this threaded comment; however, any edits to it will get removed if the file is opened in a newer version of Excel. Learn more: https://go.microsoft.com/fwlink/?linkid=870924
Comment:
    Why there is not a single formula for validating the value of similar columns?</t>
      </text>
    </comment>
    <comment ref="W34" authorId="2" shapeId="0">
      <text>
        <t>[Threaded comment]
Your version of Excel allows you to read this threaded comment; however, any edits to it will get removed if the file is opened in a newer version of Excel. Learn more: https://go.microsoft.com/fwlink/?linkid=870924
Comment:
    Does the sheet show this error message any time?</t>
      </text>
    </comment>
  </commentList>
</comments>
</file>

<file path=xl/tables/table1.xml><?xml version="1.0" encoding="utf-8"?>
<table xmlns="http://schemas.openxmlformats.org/spreadsheetml/2006/main" id="1" name="Table2" displayName="Table2" ref="G2:J6" headerRowCount="1" totalsRowShown="0" headerRowDxfId="343" dataDxfId="342">
  <autoFilter ref="G2:J6">
    <filterColumn colId="0" hiddenButton="1" showButton="1"/>
    <filterColumn colId="1" hiddenButton="1" showButton="1"/>
    <filterColumn colId="2" hiddenButton="1" showButton="1"/>
    <filterColumn colId="3" hiddenButton="1" showButton="1"/>
  </autoFilter>
  <tableColumns count="4">
    <tableColumn id="1" name="Sl. No." dataDxfId="341"/>
    <tableColumn id="2" name="Symbol" dataDxfId="340"/>
    <tableColumn id="3" name="Value" dataDxfId="339"/>
    <tableColumn id="4" name="Code" dataDxfId="338">
      <calculatedColumnFormula>CODE(I3)</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2" name="Table3" displayName="Table3" ref="G9:I13" headerRowCount="1" totalsRowShown="0" headerRowDxfId="337" dataDxfId="336">
  <autoFilter ref="G9:I13">
    <filterColumn colId="0" hiddenButton="1" showButton="1"/>
    <filterColumn colId="1" hiddenButton="1" showButton="1"/>
    <filterColumn colId="2" hiddenButton="1" showButton="1"/>
  </autoFilter>
  <tableColumns count="3">
    <tableColumn id="1" name="Sl. No." dataDxfId="335"/>
    <tableColumn id="2" name="Time Unit" dataDxfId="334"/>
    <tableColumn id="3" name="Notation" dataDxfId="333"/>
  </tableColumns>
  <tableStyleInfo name="TableStyleLight10" showFirstColumn="0" showLastColumn="0" showRowStripes="1" showColumnStripes="0"/>
</table>
</file>

<file path=xl/tables/table3.xml><?xml version="1.0" encoding="utf-8"?>
<table xmlns="http://schemas.openxmlformats.org/spreadsheetml/2006/main" id="3" name="Table4" displayName="Table4" ref="G16:H18" headerRowCount="1" totalsRowShown="0" headerRowDxfId="332" dataDxfId="331">
  <autoFilter ref="G16:H18">
    <filterColumn colId="0" hiddenButton="1" showButton="1"/>
    <filterColumn colId="1" hiddenButton="1" showButton="1"/>
  </autoFilter>
  <tableColumns count="2">
    <tableColumn id="1" name="Sl. No." dataDxfId="330"/>
    <tableColumn id="2" name="Report Type" dataDxfId="329"/>
  </tableColumns>
  <tableStyleInfo name="TableStyleLight10" showFirstColumn="0" showLastColumn="0" showRowStripes="1" showColumnStripes="0"/>
</table>
</file>

<file path=xl/tables/table4.xml><?xml version="1.0" encoding="utf-8"?>
<table xmlns="http://schemas.openxmlformats.org/spreadsheetml/2006/main" id="4" name="Table5" displayName="Table5" ref="G20:I22" headerRowCount="1" totalsRowShown="0" headerRowDxfId="328" dataDxfId="327">
  <autoFilter ref="G20:I22">
    <filterColumn colId="0" hiddenButton="1" showButton="1"/>
    <filterColumn colId="1" hiddenButton="1" showButton="1"/>
    <filterColumn colId="2" hiddenButton="1" showButton="1"/>
  </autoFilter>
  <tableColumns count="3">
    <tableColumn id="1" name="Sl. No." dataDxfId="326"/>
    <tableColumn id="2" name="Resource Utilization Key" dataDxfId="325"/>
    <tableColumn id="3" name="Threshold" dataDxfId="324"/>
  </tableColumns>
  <tableStyleInfo name="TableStyleLight10" showFirstColumn="0" showLastColumn="0" showRowStripes="1" showColumnStripes="0"/>
</table>
</file>

<file path=xl/tables/table5.xml><?xml version="1.0" encoding="utf-8"?>
<table xmlns="http://schemas.openxmlformats.org/spreadsheetml/2006/main" id="5" name="Table7" displayName="Table7" ref="L2:N13" headerRowCount="1" totalsRowShown="0" headerRowDxfId="323" dataDxfId="322">
  <autoFilter ref="L2:N13">
    <filterColumn colId="0" hiddenButton="1" showButton="1"/>
    <filterColumn colId="1" hiddenButton="1" showButton="1"/>
    <filterColumn colId="2" hiddenButton="1" showButton="1"/>
  </autoFilter>
  <tableColumns count="3">
    <tableColumn id="1" name="Sl. No." dataDxfId="321"/>
    <tableColumn id="2" name="Utility Constant" dataDxfId="320"/>
    <tableColumn id="3" name="Value" dataDxfId="319"/>
  </tableColumns>
  <tableStyleInfo name="TableStyleLight10" showFirstColumn="0" showLastColumn="0" showRowStripes="1" showColumnStripes="0"/>
</table>
</file>

<file path=xl/tables/table6.xml><?xml version="1.0" encoding="utf-8"?>
<table xmlns="http://schemas.openxmlformats.org/spreadsheetml/2006/main" id="6" name="Table_Messages" displayName="Table_Messages" ref="A28:F88" headerRowCount="1" totalsRowShown="0" headerRowDxfId="318" dataDxfId="317">
  <autoFilter ref="A28:F88">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Sl. No." dataDxfId="316"/>
    <tableColumn id="2" name="Table" dataDxfId="315"/>
    <tableColumn id="3" name="Valid case Message" dataDxfId="314"/>
    <tableColumn id="4" name="Invalid case Message" dataDxfId="313"/>
    <tableColumn id="5" name="Column1" dataDxfId="312"/>
    <tableColumn id="6" name="Column2" dataDxfId="311"/>
  </tableColumns>
  <tableStyleInfo name="TableStyleLight10" showFirstColumn="0" showLastColumn="0" showRowStripes="1" showColumnStripes="0"/>
</table>
</file>

<file path=xl/tables/table7.xml><?xml version="1.0" encoding="utf-8"?>
<table xmlns="http://schemas.openxmlformats.org/spreadsheetml/2006/main" id="7" name="Table6" displayName="Table6" ref="G26:H29" headerRowCount="1" totalsRowShown="0" headerRowDxfId="310" dataDxfId="309">
  <autoFilter ref="G26:H29">
    <filterColumn colId="0" hiddenButton="1" showButton="1"/>
    <filterColumn colId="1" hiddenButton="1" showButton="1"/>
  </autoFilter>
  <tableColumns count="2">
    <tableColumn id="1" name="Sl. No." dataDxfId="308"/>
    <tableColumn id="2" name="Application Server" dataDxfId="307"/>
  </tableColumns>
  <tableStyleInfo name="TableStyleLight10" showFirstColumn="0" showLastColumn="0" showRowStripes="1" showColumnStripes="0"/>
</table>
</file>

<file path=xl/tables/table8.xml><?xml version="1.0" encoding="utf-8"?>
<table xmlns="http://schemas.openxmlformats.org/spreadsheetml/2006/main" id="8" name="Table9" displayName="Table9" ref="G37:H42" headerRowCount="1" totalsRowShown="0" headerRowDxfId="306" dataDxfId="305">
  <autoFilter ref="G37:H42">
    <filterColumn colId="0" hiddenButton="1" showButton="1"/>
    <filterColumn colId="1" hiddenButton="1" showButton="1"/>
  </autoFilter>
  <tableColumns count="2">
    <tableColumn id="1" name="Sl. No." dataDxfId="304"/>
    <tableColumn id="2" name="Database" dataDxfId="303"/>
  </tableColumns>
  <tableStyleInfo name="TableStyleLight10" showFirstColumn="0" showLastColumn="0" showRowStripes="1" showColumnStripes="0"/>
</table>
</file>

<file path=xl/tables/table9.xml><?xml version="1.0" encoding="utf-8"?>
<table xmlns="http://schemas.openxmlformats.org/spreadsheetml/2006/main" id="9" name="Table10" displayName="Table10" ref="G48:H50" headerRowCount="1" totalsRowShown="0" headerRowDxfId="302" dataDxfId="301">
  <autoFilter ref="G48:H50">
    <filterColumn colId="0" hiddenButton="1" showButton="1"/>
    <filterColumn colId="1" hiddenButton="1" showButton="1"/>
  </autoFilter>
  <tableColumns count="2">
    <tableColumn id="1" name="Sl. No." dataDxfId="300"/>
    <tableColumn id="2" name="Programming Language" dataDxfId="299"/>
  </tableColumns>
  <tableStyleInfo name="TableStyleLight10" showFirstColumn="0" showLastColumn="0" showRowStripes="1" showColumnStripes="0"/>
</table>
</file>

<file path=xl/tables/table10.xml><?xml version="1.0" encoding="utf-8"?>
<table xmlns="http://schemas.openxmlformats.org/spreadsheetml/2006/main" id="10" name="Table11" displayName="Table11" ref="J26:K29" headerRowCount="1" totalsRowShown="0" headerRowDxfId="298" dataDxfId="297">
  <autoFilter ref="J26:K29">
    <filterColumn colId="0" hiddenButton="1" showButton="1"/>
    <filterColumn colId="1" hiddenButton="1" showButton="1"/>
  </autoFilter>
  <tableColumns count="2">
    <tableColumn id="1" name="Sl. No." dataDxfId="296"/>
    <tableColumn id="2" name="Web Server" dataDxfId="295"/>
  </tableColumns>
  <tableStyleInfo name="TableStyleLight10" showFirstColumn="0" showLastColumn="0" showRowStripes="1" showColumnStripes="0"/>
</table>
</file>

<file path=xl/tables/table11.xml><?xml version="1.0" encoding="utf-8"?>
<table xmlns="http://schemas.openxmlformats.org/spreadsheetml/2006/main" id="11" name="Table_Delimiters" displayName="Table_Delimiters" ref="A2:E25" headerRowCount="1" totalsRowShown="0" headerRowDxfId="294" dataDxfId="293">
  <autoFilter ref="A2:E25">
    <filterColumn colId="0" hiddenButton="1" showButton="1"/>
    <filterColumn colId="1" hiddenButton="1" showButton="1"/>
    <filterColumn colId="2" hiddenButton="1" showButton="1"/>
    <filterColumn colId="3" hiddenButton="1" showButton="1"/>
    <filterColumn colId="4" hiddenButton="1" showButton="1"/>
  </autoFilter>
  <tableColumns count="5">
    <tableColumn id="1" name="Sl. No." dataDxfId="292"/>
    <tableColumn id="2" name="Table" dataDxfId="291"/>
    <tableColumn id="3" name="Table Limiters" dataDxfId="290"/>
    <tableColumn id="4" name="Attribute" dataDxfId="289"/>
    <tableColumn id="5" name="Value" dataDxfId="288"/>
  </tableColumns>
  <tableStyleInfo name="TableStyleLight10" showFirstColumn="0" showLastColumn="0" showRowStripes="1" showColumnStripes="0"/>
</table>
</file>

<file path=xl/tables/table12.xml><?xml version="1.0" encoding="utf-8"?>
<table xmlns="http://schemas.openxmlformats.org/spreadsheetml/2006/main" id="12" name="Table12" displayName="Table12" ref="J37:K41" headerRowCount="1" totalsRowShown="0" headerRowDxfId="287" dataDxfId="286">
  <autoFilter ref="J37:K41">
    <filterColumn colId="0" hiddenButton="1" showButton="1"/>
    <filterColumn colId="1" hiddenButton="1" showButton="1"/>
  </autoFilter>
  <tableColumns count="2">
    <tableColumn id="1" name="Sl. No." dataDxfId="285"/>
    <tableColumn id="2" name="Approval Status" dataDxfId="284"/>
  </tableColumns>
  <tableStyleInfo name="TableStyleLight10" showFirstColumn="0" showLastColumn="0" showRowStripes="1" showColumnStripes="0"/>
</table>
</file>

<file path=xl/tables/table13.xml><?xml version="1.0" encoding="utf-8"?>
<table xmlns="http://schemas.openxmlformats.org/spreadsheetml/2006/main" id="13" name="Table13" displayName="Table13" ref="J48:K52" headerRowCount="1" totalsRowShown="0" headerRowDxfId="283" dataDxfId="282">
  <autoFilter ref="J48:K52">
    <filterColumn colId="0" hiddenButton="1" showButton="1"/>
    <filterColumn colId="1" hiddenButton="1" showButton="1"/>
  </autoFilter>
  <tableColumns count="2">
    <tableColumn id="1" name="Sl. No." dataDxfId="281"/>
    <tableColumn id="2" name="Deployment Category" dataDxfId="280"/>
  </tableColumns>
  <tableStyleInfo name="TableStyleLight10" showFirstColumn="0" showLastColumn="0" showRowStripes="1" showColumnStripes="0"/>
</table>
</file>

<file path=xl/tables/table14.xml><?xml version="1.0" encoding="utf-8"?>
<table xmlns="http://schemas.openxmlformats.org/spreadsheetml/2006/main" id="14" name="Table1015" displayName="Table1015" ref="G56:H63" headerRowCount="1" totalsRowShown="0" headerRowDxfId="279" dataDxfId="278">
  <autoFilter ref="G56:H63"/>
  <tableColumns count="2">
    <tableColumn id="1" name="Sl. No." dataDxfId="277"/>
    <tableColumn id="2" name="Cloud Vendor" dataDxfId="276"/>
  </tableColumns>
  <tableStyleInfo name="TableStyleLight10" showFirstColumn="0" showLastColumn="0" showRowStripes="1" showColumnStripes="0"/>
</table>
</file>

<file path=xl/tables/table15.xml><?xml version="1.0" encoding="utf-8"?>
<table xmlns="http://schemas.openxmlformats.org/spreadsheetml/2006/main" id="15" name="Table101516" displayName="Table101516" ref="J59:K65" headerRowCount="1" totalsRowShown="0" headerRowDxfId="275" dataDxfId="274">
  <autoFilter ref="J59:K65">
    <filterColumn colId="0" hiddenButton="1" showButton="1"/>
    <filterColumn colId="1" hiddenButton="1" showButton="1"/>
  </autoFilter>
  <tableColumns count="2">
    <tableColumn id="1" name="Sl. No." dataDxfId="273"/>
    <tableColumn id="2" name="Cloud Computing Stack Model" dataDxfId="272"/>
  </tableColumns>
  <tableStyleInfo name="TableStyleLight10" showFirstColumn="0" showLastColumn="0" showRowStripes="1" showColumnStripes="0"/>
</table>
</file>

<file path=xl/tables/table16.xml><?xml version="1.0" encoding="utf-8"?>
<table xmlns="http://schemas.openxmlformats.org/spreadsheetml/2006/main" id="16" name="Table10151617" displayName="Table10151617" ref="G67:H69" headerRowCount="1" totalsRowShown="0" headerRowDxfId="271" dataDxfId="270">
  <autoFilter ref="G67:H69">
    <filterColumn colId="0" hiddenButton="1" showButton="1"/>
    <filterColumn colId="1" hiddenButton="1" showButton="1"/>
  </autoFilter>
  <tableColumns count="2">
    <tableColumn id="1" name="Sl. No." dataDxfId="269"/>
    <tableColumn id="2" name="Boolean Choice" dataDxfId="268"/>
  </tableColumns>
  <tableStyleInfo name="TableStyleLight10" showFirstColumn="0" showLastColumn="0" showRowStripes="1" showColumnStripes="0"/>
</table>
</file>

<file path=xl/tables/table17.xml><?xml version="1.0" encoding="utf-8"?>
<table xmlns="http://schemas.openxmlformats.org/spreadsheetml/2006/main" id="17" name="Table10151618" displayName="Table10151618" ref="J68:K72" headerRowCount="1" totalsRowShown="0" headerRowDxfId="267" dataDxfId="266">
  <autoFilter ref="J68:K72">
    <filterColumn colId="0" hiddenButton="1" showButton="1"/>
    <filterColumn colId="1" hiddenButton="1" showButton="1"/>
  </autoFilter>
  <tableColumns count="2">
    <tableColumn id="1" name="Sl. No." dataDxfId="265"/>
    <tableColumn id="2" name="Load balancing and clustering strategy" dataDxfId="264"/>
  </tableColumns>
  <tableStyleInfo name="TableStyleLight10" showFirstColumn="0" showLastColumn="0" showRowStripes="1" showColumnStripes="0"/>
</table>
</file>

<file path=xl/tables/table18.xml><?xml version="1.0" encoding="utf-8"?>
<table xmlns="http://schemas.openxmlformats.org/spreadsheetml/2006/main" id="18" name="Table1015161819" displayName="Table1015161819" ref="G74:H89" headerRowCount="1" totalsRowShown="0" headerRowDxfId="263" dataDxfId="262">
  <autoFilter ref="G74:H89">
    <filterColumn colId="0" hiddenButton="1" showButton="1"/>
    <filterColumn colId="1" hiddenButton="1" showButton="1"/>
  </autoFilter>
  <tableColumns count="2">
    <tableColumn id="1" name="Sl. No." dataDxfId="261"/>
    <tableColumn id="2" name="Technology Stack" dataDxfId="260"/>
  </tableColumns>
  <tableStyleInfo name="TableStyleLight10" showFirstColumn="0" showLastColumn="0" showRowStripes="1" showColumnStripes="0"/>
</table>
</file>

<file path=xl/tables/table19.xml><?xml version="1.0" encoding="utf-8"?>
<table xmlns="http://schemas.openxmlformats.org/spreadsheetml/2006/main" id="19" name="Table1015161821" displayName="Table1015161821" ref="J77:K85" headerRowCount="1" totalsRowShown="0" headerRowDxfId="259" dataDxfId="258">
  <autoFilter ref="J77:K85">
    <filterColumn colId="0" hiddenButton="1" showButton="1"/>
    <filterColumn colId="1" hiddenButton="1" showButton="1"/>
  </autoFilter>
  <tableColumns count="2">
    <tableColumn id="1" name="Sl. No." dataDxfId="257"/>
    <tableColumn id="2" name="Application Type" dataDxfId="256"/>
  </tableColumns>
  <tableStyleInfo name="TableStyleLight10" showFirstColumn="0" showLastColumn="0" showRowStripes="1" showColumnStripes="0"/>
</table>
</file>

<file path=xl/tables/table20.xml><?xml version="1.0" encoding="utf-8"?>
<table xmlns="http://schemas.openxmlformats.org/spreadsheetml/2006/main" id="20" name="Table19" displayName="Table19" ref="Q2:X59" headerRowCount="1" totalsRowShown="0" headerRowDxfId="255" dataDxfId="254" tableBorderDxfId="253">
  <autoFilter ref="Q2:X5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autoFilter>
  <tableColumns count="8">
    <tableColumn id="1" name="Column1" dataDxfId="252"/>
    <tableColumn id="2" name="Column2" dataDxfId="251"/>
    <tableColumn id="3" name="Column3" dataDxfId="250"/>
    <tableColumn id="4" name="Column4" dataDxfId="249"/>
    <tableColumn id="5" name="Column5" dataDxfId="248"/>
    <tableColumn id="6" name="Column6" dataDxfId="247"/>
    <tableColumn id="7" name="Column7" dataDxfId="246"/>
    <tableColumn id="8" name="Column8" dataDxfId="245"/>
  </tableColumns>
  <tableStyleInfo name="TableStyleLight10" showFirstColumn="0" showLastColumn="0" showRowStripes="1" showColumnStripes="0"/>
</table>
</file>

<file path=xl/tables/table21.xml><?xml version="1.0" encoding="utf-8"?>
<table xmlns="http://schemas.openxmlformats.org/spreadsheetml/2006/main" id="21" name="Table21" displayName="Table21" ref="A100:D135" headerRowCount="1" totalsRowShown="0" headerRowDxfId="244" dataDxfId="243" tableBorderDxfId="242">
  <autoFilter ref="A100:D135"/>
  <tableColumns count="4">
    <tableColumn id="1" name="Sl. No." dataDxfId="241"/>
    <tableColumn id="2" name="Table" dataDxfId="240"/>
    <tableColumn id="3" name="Intended Purpose of validation" dataDxfId="239"/>
    <tableColumn id="4" name="Column1" dataDxfId="238"/>
  </tableColumns>
  <tableStyleInfo name="TableStyleLight10" showFirstColumn="0" showLastColumn="0" showRowStripes="1" showColumnStripes="0"/>
</table>
</file>

<file path=xl/tables/table22.xml><?xml version="1.0" encoding="utf-8"?>
<table xmlns="http://schemas.openxmlformats.org/spreadsheetml/2006/main" id="22" name="Table22" displayName="Table22" ref="G91:H99" headerRowCount="1" totalsRowShown="0" headerRowDxfId="237" dataDxfId="236">
  <autoFilter ref="G91:H99"/>
  <tableColumns count="2">
    <tableColumn id="1" name="Sl. No." dataDxfId="235"/>
    <tableColumn id="2" name="Sheet Name" dataDxfId="234"/>
  </tableColumns>
  <tableStyleInfo name="TableStyleLight10" showFirstColumn="0" showLastColumn="0" showRowStripes="1" showColumnStripes="0"/>
</table>
</file>

<file path=xl/tables/table23.xml><?xml version="1.0" encoding="utf-8"?>
<table xmlns="http://schemas.openxmlformats.org/spreadsheetml/2006/main" id="23" name="Table924" displayName="Table924" ref="AB2:AC35" headerRowCount="1" totalsRowShown="0" headerRowDxfId="233" dataDxfId="232">
  <autoFilter ref="AB2:AC35"/>
  <tableColumns count="2">
    <tableColumn id="1" name="Sl. No." dataDxfId="231"/>
    <tableColumn id="2" name="Database"/>
  </tableColumns>
  <tableStyleInfo name="TableStyleLight10" showFirstColumn="0" showLastColumn="0" showRowStripes="1" showColumnStripes="0"/>
</table>
</file>

<file path=xl/tables/table24.xml><?xml version="1.0" encoding="utf-8"?>
<table xmlns="http://schemas.openxmlformats.org/spreadsheetml/2006/main" id="24" name="Table625" displayName="Table625" ref="AE2:AF38" headerRowCount="1" totalsRowShown="0" headerRowDxfId="230" dataDxfId="229">
  <autoFilter ref="AE2:AF38"/>
  <tableColumns count="2">
    <tableColumn id="1" name="Sl. No." dataDxfId="228"/>
    <tableColumn id="2" name="Application Server"/>
  </tableColumns>
  <tableStyleInfo name="TableStyleLight10" showFirstColumn="0" showLastColumn="0" showRowStripes="1" showColumnStripes="0"/>
</table>
</file>

<file path=xl/tables/table25.xml><?xml version="1.0" encoding="utf-8"?>
<table xmlns="http://schemas.openxmlformats.org/spreadsheetml/2006/main" id="25" name="Table1126" displayName="Table1126" ref="AH2:AI35" headerRowCount="1" totalsRowShown="0" headerRowDxfId="227" dataDxfId="226">
  <autoFilter ref="AH2:AI35"/>
  <tableColumns count="2">
    <tableColumn id="1" name="Sl. No." dataDxfId="225"/>
    <tableColumn id="2" name="Web Server"/>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Mohan">
      <a:dk1>
        <a:sysClr val="windowText" lastClr="000000"/>
      </a:dk1>
      <a:lt1>
        <a:sysClr val="window" lastClr="FFFFFF"/>
      </a:lt1>
      <a:dk2>
        <a:srgbClr val="4E5B6F"/>
      </a:dk2>
      <a:lt2>
        <a:srgbClr val="D6ECFF"/>
      </a:lt2>
      <a:accent1>
        <a:srgbClr val="7FD13B"/>
      </a:accent1>
      <a:accent2>
        <a:srgbClr val="EA157A"/>
      </a:accent2>
      <a:accent3>
        <a:srgbClr val="FEB80A"/>
      </a:accent3>
      <a:accent4>
        <a:srgbClr val="00ADDC"/>
      </a:accent4>
      <a:accent5>
        <a:srgbClr val="738AC8"/>
      </a:accent5>
      <a:accent6>
        <a:srgbClr val="1AB39F"/>
      </a:accent6>
      <a:hlink>
        <a:srgbClr val="007DEA"/>
      </a:hlink>
      <a:folHlink>
        <a:srgbClr val="5F7791"/>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 Type="http://schemas.openxmlformats.org/officeDocument/2006/relationships/table" Target="/xl/tables/table22.xml" Id="rId22"/><Relationship Type="http://schemas.openxmlformats.org/officeDocument/2006/relationships/table" Target="/xl/tables/table23.xml" Id="rId23"/><Relationship Type="http://schemas.openxmlformats.org/officeDocument/2006/relationships/table" Target="/xl/tables/table24.xml" Id="rId24"/><Relationship Type="http://schemas.openxmlformats.org/officeDocument/2006/relationships/table" Target="/xl/tables/table25.xml" Id="rId25"/><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2:D19"/>
  <sheetViews>
    <sheetView zoomScaleNormal="100" workbookViewId="0">
      <selection activeCell="B2" sqref="B2:D2"/>
    </sheetView>
  </sheetViews>
  <sheetFormatPr baseColWidth="8" defaultRowHeight="12.75"/>
  <cols>
    <col width="17.7109375" customWidth="1" min="2" max="2"/>
    <col width="48.7109375" customWidth="1" min="4" max="4"/>
  </cols>
  <sheetData>
    <row r="2" ht="51" customHeight="1">
      <c r="B2" s="397" t="inlineStr">
        <is>
          <t>This is a mandatory cover page to be added to all files created within the IP&amp;E Group. Do not delete this information.</t>
        </is>
      </c>
      <c r="C2" s="398" t="n"/>
      <c r="D2" s="399" t="n"/>
    </row>
    <row r="3" ht="12.75" customHeight="1">
      <c r="B3" s="8" t="inlineStr">
        <is>
          <t>Document Name</t>
        </is>
      </c>
      <c r="C3" s="313" t="inlineStr">
        <is>
          <t>IPnE_SPD_Performance_QOPD</t>
        </is>
      </c>
      <c r="D3" s="400" t="n"/>
    </row>
    <row r="4" ht="12.75" customHeight="1">
      <c r="B4" s="9" t="inlineStr">
        <is>
          <t>Version No</t>
        </is>
      </c>
      <c r="C4" s="315" t="inlineStr">
        <is>
          <t>V4.1.0</t>
        </is>
      </c>
      <c r="D4" s="401" t="n"/>
    </row>
    <row r="5" ht="12.75" customHeight="1">
      <c r="B5" s="9" t="inlineStr">
        <is>
          <t>Document Type</t>
        </is>
      </c>
      <c r="C5" s="315" t="inlineStr">
        <is>
          <t>Requirements Review Template</t>
        </is>
      </c>
      <c r="D5" s="401" t="n"/>
    </row>
    <row r="6" ht="12.75" customHeight="1">
      <c r="B6" s="11" t="inlineStr">
        <is>
          <t xml:space="preserve"> </t>
        </is>
      </c>
      <c r="C6" s="317" t="inlineStr">
        <is>
          <t xml:space="preserve"> </t>
        </is>
      </c>
      <c r="D6" s="401" t="n"/>
    </row>
    <row r="7" ht="12.75" customHeight="1">
      <c r="B7" s="12" t="inlineStr">
        <is>
          <t>Author</t>
        </is>
      </c>
      <c r="C7" s="315" t="inlineStr">
        <is>
          <t>Seji Thomas, Sweety Sunny, Binu S, Kavinraj M</t>
        </is>
      </c>
      <c r="D7" s="401" t="n"/>
    </row>
    <row r="8" ht="12.75" customHeight="1">
      <c r="B8" s="9" t="inlineStr">
        <is>
          <t>Approver</t>
        </is>
      </c>
      <c r="C8" s="315" t="inlineStr">
        <is>
          <t>Internal Team Review</t>
        </is>
      </c>
      <c r="D8" s="401" t="n"/>
    </row>
    <row r="9" ht="12.75" customHeight="1">
      <c r="B9" s="9" t="inlineStr">
        <is>
          <t>Authoring Group</t>
        </is>
      </c>
      <c r="C9" s="315" t="inlineStr">
        <is>
          <t>IP&amp;E_SPD</t>
        </is>
      </c>
      <c r="D9" s="401" t="n"/>
    </row>
    <row r="10" ht="12.75" customHeight="1">
      <c r="B10" s="13" t="inlineStr">
        <is>
          <t xml:space="preserve"> </t>
        </is>
      </c>
      <c r="C10" s="317" t="inlineStr">
        <is>
          <t xml:space="preserve"> </t>
        </is>
      </c>
      <c r="D10" s="401" t="n"/>
    </row>
    <row r="11" ht="30" customHeight="1">
      <c r="B11" s="9" t="inlineStr">
        <is>
          <t>Last version released on</t>
        </is>
      </c>
      <c r="C11" s="14" t="inlineStr">
        <is>
          <t>Oct</t>
        </is>
      </c>
      <c r="D11" s="315" t="n">
        <v>2024</v>
      </c>
    </row>
    <row r="12" ht="35.25" customHeight="1">
      <c r="B12" s="15" t="inlineStr">
        <is>
          <t>Intended Audience</t>
        </is>
      </c>
      <c r="C12" s="319" t="inlineStr">
        <is>
          <t>Architects, Technical Leads, Developers, Engineering team, Performance CoE &amp; Testing teams.</t>
        </is>
      </c>
      <c r="D12" s="402" t="n"/>
    </row>
    <row r="13" ht="15" customHeight="1">
      <c r="B13" s="403" t="inlineStr">
        <is>
          <t xml:space="preserve"> </t>
        </is>
      </c>
      <c r="D13" s="404" t="n"/>
    </row>
    <row r="14" ht="55.5" customHeight="1">
      <c r="B14" s="17" t="inlineStr">
        <is>
          <t>File Name</t>
        </is>
      </c>
      <c r="C14" s="308" t="inlineStr">
        <is>
          <t>IPnE_SPD_Performance_QOPD_Requirements Review Template_V4.1.0_Oct-2024.xlsx</t>
        </is>
      </c>
      <c r="D14" s="404" t="n"/>
    </row>
    <row r="15" ht="12.75" customHeight="1">
      <c r="B15" s="320" t="inlineStr">
        <is>
          <t xml:space="preserve"> </t>
        </is>
      </c>
      <c r="C15" s="324" t="inlineStr">
        <is>
          <t xml:space="preserve"> </t>
        </is>
      </c>
      <c r="D15" s="402" t="n"/>
    </row>
    <row r="16">
      <c r="B16" s="405" t="inlineStr">
        <is>
          <t>Confidentiality Statement</t>
        </is>
      </c>
      <c r="C16" s="398" t="n"/>
      <c r="D16" s="399" t="n"/>
    </row>
    <row r="17" ht="15" customHeight="1">
      <c r="B17" s="403" t="inlineStr">
        <is>
          <t xml:space="preserve"> </t>
        </is>
      </c>
      <c r="D17" s="404" t="n"/>
    </row>
    <row r="18">
      <c r="B18" s="406" t="inlineStr">
        <is>
          <t>This is a controlled document. Unauthorized access, copying, and replication are prohibited.</t>
        </is>
      </c>
      <c r="D18" s="404" t="n"/>
    </row>
    <row r="19">
      <c r="B19" s="407" t="inlineStr">
        <is>
          <t>This document must not be copied in whole or in part by any means, without the written authorization of the Delivery Excellence Head – CEG.</t>
        </is>
      </c>
      <c r="C19" s="408" t="n"/>
      <c r="D19" s="402" t="n"/>
    </row>
  </sheetData>
  <sheetProtection selectLockedCells="0" selectUnlockedCells="0" algorithmName="SHA-512" sheet="1" objects="1" insertRows="1" insertHyperlinks="1" autoFilter="1" scenarios="1" formatColumns="1" deleteColumns="1" insertColumns="1" pivotTables="1" deleteRows="1" formatCells="1" saltValue="ALuLluaStX3ghfOScrHyDw==" formatRows="1" sort="1" spinCount="100000" hashValue="9cTddumDjA1pHw2r0FXRnvvIIqoCbKye6BXR/VZeO05x+C/fPJiSYdwm2I4zcWYBSmBYJTUfdy52XDk6/RhG/A=="/>
  <mergeCells count="17">
    <mergeCell ref="C12:D12"/>
    <mergeCell ref="B19:D19"/>
    <mergeCell ref="C6:D6"/>
    <mergeCell ref="C10:D10"/>
    <mergeCell ref="C7:D7"/>
    <mergeCell ref="C15:D15"/>
    <mergeCell ref="C5:D5"/>
    <mergeCell ref="B17:D17"/>
    <mergeCell ref="B18:D18"/>
    <mergeCell ref="C14:D14"/>
    <mergeCell ref="B2:D2"/>
    <mergeCell ref="B13:D13"/>
    <mergeCell ref="B16:D16"/>
    <mergeCell ref="C9:D9"/>
    <mergeCell ref="C3:D3"/>
    <mergeCell ref="C8:D8"/>
    <mergeCell ref="C4:D4"/>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K49"/>
  <sheetViews>
    <sheetView zoomScale="107" zoomScaleNormal="106" workbookViewId="0">
      <selection activeCell="A1" sqref="A1"/>
    </sheetView>
  </sheetViews>
  <sheetFormatPr baseColWidth="8" defaultRowHeight="12.75"/>
  <cols>
    <col width="20.140625" customWidth="1" min="1" max="1"/>
    <col width="35.42578125" customWidth="1" min="2" max="2"/>
    <col width="68.42578125" customWidth="1" min="3" max="3"/>
  </cols>
  <sheetData>
    <row r="1" ht="15" customHeight="1">
      <c r="A1" s="1" t="inlineStr">
        <is>
          <t>Document History</t>
        </is>
      </c>
      <c r="B1" s="2" t="n"/>
      <c r="C1" s="3" t="n"/>
      <c r="D1" s="3" t="n"/>
      <c r="E1" s="3" t="n"/>
      <c r="F1" s="3" t="n"/>
      <c r="G1" s="3" t="n"/>
      <c r="H1" s="3" t="n"/>
      <c r="I1" s="3" t="n"/>
    </row>
    <row r="2" ht="15" customHeight="1">
      <c r="A2" s="1" t="inlineStr">
        <is>
          <t>Name of the Artifact</t>
        </is>
      </c>
      <c r="B2" s="2" t="inlineStr">
        <is>
          <t>IPnE_SPD_Performance_QOPD_Requirements Review Template_V4.1.0_Oct-2024.xlsx</t>
        </is>
      </c>
      <c r="C2" s="3" t="n"/>
      <c r="D2" s="3" t="n"/>
      <c r="E2" s="3" t="n"/>
      <c r="F2" s="3" t="n"/>
      <c r="G2" s="3" t="n"/>
      <c r="H2" s="3" t="n"/>
      <c r="I2" s="3" t="n"/>
    </row>
    <row r="3" ht="15" customHeight="1">
      <c r="A3" s="6" t="inlineStr">
        <is>
          <t>Release Date</t>
        </is>
      </c>
      <c r="B3" s="5" t="n">
        <v>45582</v>
      </c>
      <c r="C3" s="3" t="n"/>
      <c r="D3" s="3" t="n"/>
      <c r="E3" s="3" t="n"/>
      <c r="F3" s="3" t="n"/>
      <c r="G3" s="3" t="n"/>
      <c r="H3" s="3" t="n"/>
      <c r="I3" s="3" t="n"/>
    </row>
    <row r="4" ht="15" customHeight="1">
      <c r="A4" s="3" t="n"/>
      <c r="B4" s="3" t="n"/>
      <c r="C4" s="3" t="n"/>
      <c r="D4" s="3" t="n"/>
      <c r="E4" s="3" t="n"/>
      <c r="F4" s="3" t="n"/>
      <c r="G4" s="3" t="n"/>
      <c r="H4" s="3" t="n"/>
      <c r="I4" s="3" t="n"/>
    </row>
    <row r="5" ht="15" customHeight="1">
      <c r="A5" s="352" t="inlineStr">
        <is>
          <t>Revision History</t>
        </is>
      </c>
      <c r="B5" s="409" t="n"/>
      <c r="C5" s="409" t="n"/>
      <c r="D5" s="3" t="n"/>
      <c r="E5" s="3" t="n"/>
      <c r="F5" s="3" t="n"/>
      <c r="G5" s="3" t="n"/>
      <c r="H5" s="3" t="n"/>
      <c r="I5" s="3" t="n"/>
    </row>
    <row r="6" ht="15" customHeight="1">
      <c r="A6" s="1" t="inlineStr">
        <is>
          <t>Date</t>
        </is>
      </c>
      <c r="B6" s="1" t="inlineStr">
        <is>
          <t>Release No.</t>
        </is>
      </c>
      <c r="C6" s="1" t="inlineStr">
        <is>
          <t>Remarks</t>
        </is>
      </c>
      <c r="D6" s="3" t="n"/>
      <c r="E6" s="3" t="n"/>
      <c r="F6" s="3" t="n"/>
      <c r="G6" s="3" t="n"/>
      <c r="H6" s="3" t="n"/>
      <c r="I6" s="3" t="n"/>
    </row>
    <row r="7" ht="315" customHeight="1">
      <c r="A7" s="4" t="n">
        <v>45582</v>
      </c>
      <c r="B7" s="189" t="inlineStr">
        <is>
          <t>4.1.0</t>
        </is>
      </c>
      <c r="C7" s="189" t="inlineStr">
        <is>
          <t>1. Auto-approval has been extended for Desktop type application.
2. Auto-approval has been extended for applications deployed in Cloud SAAS and PAAS, which is on top of IAAS,
3. In the 'Asset Info' tab, for the question on Technology Stack, the following new entries have been added - Gen AI and Microservices,
4. A new condition check is added to the validation logic linked with 'Response Times - Data Requirements' table to check if remarks is provided when the count of records in the table is less than 100. In such a case, positive validation will occur if the remarks are provided. The validation outcome message is also changed to reflect that the rationale for less than 100 records in the table is not provided whenever a negative validation outcome results.
5. Fixed the following issues
	I. In the case when online transaction table is empty (i.e., without any transaction), the validation to check if the  User Concurrency distribution is proper across online transactions and online report transactions as a whole was not happening. This was fixed, and the linked changes required in the validation messages and their formatting have been made.
	II. The App server, Webserver, and DB server List validations were refactored to avoid making changes in the validation logic whenever the list was updated.</t>
        </is>
      </c>
      <c r="D7" s="3" t="n"/>
      <c r="E7" s="3" t="n"/>
      <c r="F7" s="3" t="n"/>
      <c r="G7" s="3" t="n"/>
      <c r="H7" s="3" t="n"/>
      <c r="I7" s="3" t="n"/>
    </row>
    <row r="8" ht="270" customHeight="1">
      <c r="A8" s="4" t="n">
        <v>45504</v>
      </c>
      <c r="B8" s="189" t="inlineStr">
        <is>
          <t>4.0.0</t>
        </is>
      </c>
      <c r="C8" s="189" t="inlineStr">
        <is>
          <t>1. Introduced additional set of Servers applicable for rule evaluation in the Web Server Pool,
2. Introduced additional set of Servers applicable for rule evaluation in the Application Server Pool,
3. Introduced additional set of Servers applicable for rule evaluation in the DB Server Pool,
4. Expanded the range of concurrent users applicable for rule evaluation. From 15 to 150, the range has been expanded to between 1 and 200,
5. In the 'Response Times - Data – Requirements' table, the column heading for 'Estimated No. Of Records per table' has been updated to imply that the number of records mentioned must be of the Performance testing environment. The Input Message in that column has also been changed to inform the end user about this expectation so while filling the performance requirements of the target asset, it is clear on what data must be filled.
6. Prevent a spill error occurring in 'Deployment Requirements' table validation due to an extra entry added between Web Server and App Server line items in the 'Software Stack - Information' table.</t>
        </is>
      </c>
      <c r="D8" s="3" t="n"/>
      <c r="E8" s="3" t="n"/>
      <c r="F8" s="3" t="n"/>
      <c r="G8" s="3" t="n"/>
      <c r="H8" s="3" t="n"/>
      <c r="I8" s="3" t="n"/>
    </row>
    <row r="9" ht="240" customHeight="1">
      <c r="A9" s="4" t="n">
        <v>45299</v>
      </c>
      <c r="B9" s="189" t="inlineStr">
        <is>
          <t>3.1.0</t>
        </is>
      </c>
      <c r="C9" s="189" t="inlineStr">
        <is>
          <t>1. Cross table data dependency validations are added
2. Allow a scenario where "Response Times - Online Txns-Requirements" table is empty
In the previous release of the QOPD, an Applications with no requirements in this table, results in an error message and "Not Appproved" outcome for the table in the "Report" sheet. With the change, it allows this table to be empty when any one of "Response Times - Batch Jobs-Requirements"/"Response Times - Reports-Requirements" tables, or both are non-empty with respect to requirements.
3. Validation messages across tables that must reflect the same context have been re-written for uniformity
E.g., messages such as "No batch jobs are defined" and "Response time Report requirements are not filled"
4. Changes to basic validation and message output for couple requirements tables and conditional formatting changes
5. Changes or addition in Usage guidelines ("Read me" tab)</t>
        </is>
      </c>
      <c r="D9" s="3" t="n"/>
      <c r="E9" s="3" t="n"/>
      <c r="F9" s="3" t="n"/>
      <c r="G9" s="3" t="n"/>
      <c r="H9" s="3" t="n"/>
      <c r="I9" s="3" t="n"/>
    </row>
    <row r="10" ht="409.5" customHeight="1">
      <c r="A10" s="4" t="n">
        <v>45211</v>
      </c>
      <c r="B10" s="189" t="inlineStr">
        <is>
          <t>3.0.0</t>
        </is>
      </c>
      <c r="C10" s="189" t="inlineStr">
        <is>
          <t>1. Allow deployments in Cloud-IAAS (GCP/ AWS/ Azure) for auto approval of requirements similar to on-premise deployments
2. Added the following in the 'Asset Info' tab
	i. In 'Asset Information' table, separate rows for 'Asset Name' and 'Version',
	ii. In 'Asset Information' table, a new row for 'Brand Name',
	iii. In 'Technical Details' table, added the following questions
		a. Which is the Geographic location of the cloud datacenter?
		b. Is the response time requirement Transaction wise or request wise?
		c. Is the expected response/ completion time SLA of all online, report, and batch transactions of the asset known?
3. Modified the following
	i. In 'Response Times - Data – Requirements' table, the column header for upper limit for the table size, expects data to be filled in unit of mega bytes (MB)
	ii. Disallow comma (',') character in 'Name' and 'Version' fields of 'Software Stack - Information' table.
	iii. Content in the requirements table - 'Data Management – Requirements'
4. Fixed the following issues
	i. If 'DB Server' cell placeholder in 'Deployment Requirements' table is having 'NA' values for 'Number of Instances'/ 'CPU cores'/ 'RAM in GB' with remarks under 'Remarks'column, it is wrongly interpreted as application with no DB, and showing wrong validation message for 'Response Times - Data – Requirements' and 'Data Management – Requirements' tables.
	ii. In 'Response Times - Online Txns – Requirements'  table, incorrect data validations for SLA/ USLA fields.
	iii. Validation error is not shown when concurrent users distribution is done with 0 users.</t>
        </is>
      </c>
      <c r="D10" s="3" t="n"/>
      <c r="E10" s="3" t="n"/>
      <c r="F10" s="3" t="n"/>
      <c r="G10" s="3" t="n"/>
      <c r="H10" s="3" t="n"/>
      <c r="I10" s="3" t="n"/>
    </row>
    <row r="11" ht="240" customHeight="1">
      <c r="A11" s="4" t="n">
        <v>45160</v>
      </c>
      <c r="B11" s="189" t="inlineStr">
        <is>
          <t>2.0.5</t>
        </is>
      </c>
      <c r="C11" s="189" t="inlineStr">
        <is>
          <t>1. When either of the 'Software Stack - Information' or the 'Deployment Requirements' table is missing data related to DB Server or DB Software, alert the user with the validation message to enter missing details. 
2. In 'Response Times - Online Txns – Requirements' table, validation and message display for the case when response time is above 5 secs are refactored for ensuring correctness.
3. In 'Data – Requirements' table, data is not required to be filled if DB component is not part of the asset. 
4. In 'Data Management – Requirements' table, data is not required to be filled if DB component is not part of the asset. 
5. In 'Data Management – Requirements' table, the case where a 'NA' value in column 'D' (Requirement) was resulting in exclusion of the corresponding row of the table for validation checks is remediated.
5. In 'Data Management – Requirements' table, the case where a 'NA' value in column 'D' (Requirement) was resulting in exclusion of the corresponding row of the table for validation checks is remediated.</t>
        </is>
      </c>
      <c r="D11" s="3" t="n"/>
      <c r="E11" s="3" t="n"/>
      <c r="F11" s="3" t="n"/>
      <c r="G11" s="3" t="n"/>
      <c r="H11" s="3" t="n"/>
      <c r="I11" s="3" t="n"/>
    </row>
    <row r="12" ht="75" customHeight="1">
      <c r="A12" s="4" t="n">
        <v>45127</v>
      </c>
      <c r="B12" s="189" t="inlineStr">
        <is>
          <t>2.0.4</t>
        </is>
      </c>
      <c r="C12" s="189" t="inlineStr">
        <is>
          <t>Include editable rows in 'Deployment Requirements' and 'Channels - Information' tables. Proper naming for Apache family web server in the 'Software Stack - Information' table. Exclude the need for having a Web Server in the deployment stack for considering it as a Web-based data-centric Application.</t>
        </is>
      </c>
      <c r="D12" s="3" t="n"/>
      <c r="E12" s="3" t="n"/>
      <c r="F12" s="3" t="n"/>
      <c r="G12" s="3" t="n"/>
      <c r="H12" s="3" t="n"/>
      <c r="I12" s="3" t="n"/>
    </row>
    <row r="13" ht="45" customHeight="1">
      <c r="A13" s="4" t="n">
        <v>45120</v>
      </c>
      <c r="B13" s="189" t="inlineStr">
        <is>
          <t>2.0.3</t>
        </is>
      </c>
      <c r="C13" s="189" t="inlineStr">
        <is>
          <t>Refactor of the filter function that extracts asset information and addition of an experimental validation to check if there are requirements outside of auto-approval.</t>
        </is>
      </c>
      <c r="D13" s="3" t="n"/>
      <c r="E13" s="3" t="n"/>
      <c r="F13" s="3" t="n"/>
      <c r="G13" s="3" t="n"/>
      <c r="H13" s="3" t="n"/>
      <c r="I13" s="3" t="n"/>
    </row>
    <row r="14" ht="45" customHeight="1">
      <c r="A14" s="4" t="n">
        <v>45114</v>
      </c>
      <c r="B14" s="189" t="inlineStr">
        <is>
          <t>2.0.2</t>
        </is>
      </c>
      <c r="C14" s="189" t="inlineStr">
        <is>
          <t>Extending the deployment Requirements table validation and change the data validation error message in 'Data – Requirements' table, aligned to the purpose of validation .</t>
        </is>
      </c>
      <c r="D14" s="3" t="n"/>
      <c r="E14" s="3" t="n"/>
      <c r="F14" s="3" t="n"/>
      <c r="G14" s="3" t="n"/>
      <c r="H14" s="3" t="n"/>
      <c r="I14" s="3" t="n"/>
    </row>
    <row r="15" ht="15" customHeight="1">
      <c r="A15" s="4" t="n">
        <v>45111</v>
      </c>
      <c r="B15" s="189" t="inlineStr">
        <is>
          <t>2.0.1</t>
        </is>
      </c>
      <c r="C15" s="189" t="inlineStr">
        <is>
          <t>Changes for concurrent users range validation auto-approval</t>
        </is>
      </c>
      <c r="D15" s="3" t="n"/>
      <c r="E15" s="3" t="n"/>
      <c r="F15" s="3" t="n"/>
      <c r="G15" s="3" t="n"/>
      <c r="H15" s="3" t="n"/>
      <c r="I15" s="3" t="n"/>
    </row>
    <row r="16" ht="45" customHeight="1">
      <c r="A16" s="4" t="n">
        <v>45103</v>
      </c>
      <c r="B16" s="189" t="n">
        <v>2</v>
      </c>
      <c r="C16" s="189" t="inlineStr">
        <is>
          <t>© Copyright [2023], Tata Consultancy Services Limited. All Rights Reserved.
Document ID CGFR009395</t>
        </is>
      </c>
      <c r="D16" s="3" t="n"/>
      <c r="E16" s="3" t="n"/>
      <c r="F16" s="3" t="n"/>
      <c r="G16" s="3" t="n"/>
      <c r="H16" s="3" t="n"/>
      <c r="I16" s="3" t="n"/>
    </row>
    <row r="17" ht="15" customHeight="1">
      <c r="A17" s="4" t="n">
        <v>45084</v>
      </c>
      <c r="B17" s="189" t="n">
        <v>2</v>
      </c>
      <c r="C17" s="3" t="inlineStr">
        <is>
          <t>Revised Release of the document</t>
        </is>
      </c>
      <c r="D17" s="3" t="n"/>
      <c r="E17" s="3" t="n"/>
      <c r="F17" s="3" t="n"/>
      <c r="G17" s="3" t="n"/>
      <c r="H17" s="3" t="n"/>
      <c r="I17" s="3" t="n"/>
    </row>
    <row r="18" ht="15" customHeight="1">
      <c r="A18" s="4" t="n">
        <v>43263</v>
      </c>
      <c r="B18" s="3" t="n">
        <v>1.31</v>
      </c>
      <c r="C18" s="3" t="inlineStr">
        <is>
          <t>Revised Release of the document</t>
        </is>
      </c>
      <c r="D18" s="3" t="n"/>
      <c r="E18" s="3" t="n"/>
      <c r="F18" s="3" t="n"/>
      <c r="G18" s="3" t="n"/>
      <c r="H18" s="3" t="n"/>
      <c r="I18" s="3" t="n"/>
    </row>
    <row r="19" ht="15" customHeight="1">
      <c r="A19" s="4" t="n">
        <v>41512</v>
      </c>
      <c r="B19" s="3" t="n">
        <v>1.2</v>
      </c>
      <c r="C19" s="3" t="inlineStr">
        <is>
          <t>Formal Release of the document</t>
        </is>
      </c>
      <c r="D19" s="3" t="n"/>
      <c r="E19" s="3" t="n"/>
      <c r="F19" s="3" t="n"/>
      <c r="G19" s="3" t="n"/>
      <c r="H19" s="3" t="n"/>
      <c r="I19" s="3" t="n"/>
    </row>
    <row r="20" ht="15" customHeight="1">
      <c r="A20" s="3" t="n"/>
      <c r="B20" s="3" t="n"/>
      <c r="C20" s="3" t="n"/>
      <c r="D20" s="3" t="n"/>
      <c r="E20" s="3" t="n"/>
      <c r="F20" s="3" t="n"/>
      <c r="G20" s="3" t="n"/>
      <c r="H20" s="3" t="n"/>
      <c r="I20" s="3" t="n"/>
    </row>
    <row r="21" ht="15" customHeight="1">
      <c r="A21" s="354" t="inlineStr">
        <is>
          <t>Usage Guidelines</t>
        </is>
      </c>
      <c r="B21" s="410" t="n"/>
      <c r="C21" s="410" t="n"/>
      <c r="D21" s="410" t="n"/>
      <c r="E21" s="410" t="n"/>
      <c r="F21" s="410" t="n"/>
      <c r="G21" s="410" t="n"/>
      <c r="H21" s="411" t="n"/>
      <c r="I21" s="3" t="n"/>
    </row>
    <row r="22" ht="209.25" customHeight="1">
      <c r="A22" s="355" t="inlineStr">
        <is>
          <t>• This template enables self-review of performance requirements, thereby improving the quality of performance requirements that are captured.
• The 'Asset Info' tab must be filled by the asset team (provide details in the 'Asset Information' and 'Technical Details of the Asset' tables)
 The 'Performance' tab is the main tab where all performance requirements must be provided by the asset team in the respective tables.
• As the asset team enters the data in the above mentioned tabs, front-end data validations at the cell level are triggered to ensure that the user provides the right type of data and the set of constraints.
• Data entered by the user is also validated based on additional rules configured for checking data correctness at the table level and across tables. Such rule adherence and violations are displayed on the right side of the respective table.
• Validations at the cell level, table level, and across tables must be completed successfully for the 'QOPD Evaluation Status' in the 'Report' tab to be ready for 'Cleared' status.
• The 'Report' tab consists of the outcome of automated rule validations. Results of individual rule evaluations are presented, and the consolidated status of whether the QOPD has passed through automated review is displayed.</t>
        </is>
      </c>
      <c r="B22" s="410" t="n"/>
      <c r="C22" s="410" t="n"/>
      <c r="D22" s="410" t="n"/>
      <c r="E22" s="410" t="n"/>
      <c r="F22" s="410" t="n"/>
      <c r="G22" s="410" t="n"/>
      <c r="H22" s="411" t="n"/>
      <c r="I22" s="3" t="n"/>
    </row>
    <row r="23" ht="15" customHeight="1">
      <c r="A23" s="3" t="n"/>
      <c r="B23" s="3" t="n"/>
      <c r="C23" s="3" t="n"/>
      <c r="D23" s="3" t="n"/>
      <c r="E23" s="3" t="n"/>
      <c r="F23" s="3" t="n"/>
      <c r="G23" s="3" t="n"/>
      <c r="H23" s="3" t="n"/>
      <c r="I23" s="3" t="n"/>
    </row>
    <row r="24" ht="15" customHeight="1">
      <c r="A24" s="354" t="inlineStr">
        <is>
          <t>Recommendations while filling the sheet</t>
        </is>
      </c>
      <c r="B24" s="410" t="n"/>
      <c r="C24" s="410" t="n"/>
      <c r="D24" s="410" t="n"/>
      <c r="E24" s="410" t="n"/>
      <c r="F24" s="410" t="n"/>
      <c r="G24" s="410" t="n"/>
      <c r="H24" s="411" t="n"/>
      <c r="I24" s="3" t="n"/>
    </row>
    <row r="25" ht="57" customHeight="1">
      <c r="A25" s="351" t="inlineStr">
        <is>
          <t>• By default, the QOPD template is filled with the requirements of a sample application. This enables asset teams to understand how the template is filled so that the teams can provide requirements for their specific software asset. Asset teams must ensure that performance requirements and other information related to the specific asset are entered, and all requirements from the sample QOPD are deleted before the QOPD is submitted for further processing.</t>
        </is>
      </c>
      <c r="B25" s="410" t="n"/>
      <c r="C25" s="410" t="n"/>
      <c r="D25" s="410" t="n"/>
      <c r="E25" s="410" t="n"/>
      <c r="F25" s="410" t="n"/>
      <c r="G25" s="410" t="n"/>
      <c r="H25" s="411" t="n"/>
      <c r="I25" s="3" t="n"/>
    </row>
    <row r="26" ht="135" customHeight="1">
      <c r="A26" s="351" t="inlineStr">
        <is>
          <t>• While filling this sheet from an existing Performance QOPD, associates may opt for copying and pasting data under corresponding tables. As a result, formatting changes may also get copied and reflected in the rows copied, which can affect the front-end and additional validations configured in this template. For e.g., if the cell being copied is in 'Percentage' format, the target cell where it is copied will also change to that format. If the target cell's expected format is 'Number' format, after copying &amp; pasting the value it changes to 'Percentage' format; as a result, the validation will fail to show the desired outcome.
Overcoming the issue: Right-click the cell where the incorrect format is observed. Select 'Number format...', and change the category to 'Number', setting the decimal places as 0.</t>
        </is>
      </c>
      <c r="B26" s="410" t="n"/>
      <c r="C26" s="410" t="n"/>
      <c r="D26" s="410" t="n"/>
      <c r="E26" s="410" t="n"/>
      <c r="F26" s="410" t="n"/>
      <c r="G26" s="410" t="n"/>
      <c r="H26" s="411" t="n"/>
      <c r="I26" s="3" t="n"/>
      <c r="K26" s="7" t="n"/>
    </row>
    <row r="27" ht="67.5" customHeight="1">
      <c r="A27" s="351" t="inlineStr">
        <is>
          <t>• Sometimes after a copy-paste attempt, front-end validations are not triggered, and it may prevent other validations from running.
Overcoming the issue: Double-click within the copied cells to trigger validations.</t>
        </is>
      </c>
      <c r="B27" s="410" t="n"/>
      <c r="C27" s="410" t="n"/>
      <c r="D27" s="410" t="n"/>
      <c r="E27" s="410" t="n"/>
      <c r="F27" s="410" t="n"/>
      <c r="G27" s="410" t="n"/>
      <c r="H27" s="411" t="n"/>
      <c r="I27" s="3" t="n"/>
      <c r="K27" s="7" t="n"/>
    </row>
    <row r="28" ht="179.25" customHeight="1">
      <c r="A28" s="351" t="inlineStr">
        <is>
          <t>• While filling the requirements what are the general precautions to be taken?
Recommendation: 
1. If data validation exists for a particular column of the table, follow the guidance in the input message. 
2. If the requirement is not known, as in the case of columns with no validation, leave that column blank.
3. If available, provide 'Req-Id' field value from the Architecture document, else use the convention followed in this QOPD sheet.
4. Do not alter the contents of the table in individual or merged cells that are highlighted in shades of Maroon, Black/Gray.
5. If additional rows are required under a table to complete the requirement, insert rows within the bordered region of the table.
6. Do not directly copy paste rows/columns/cell/s directly within or from another copy of the QOPD. Instead, copy paste to a notepad. Subsequently, use that as the source to put the contents in to QOPD sheet.
7. While doing a copy paste, ensure that data is pasted to the right rows and columns.
8. Ensure that columns on an entity's description are filled mandatorily. A row with an empty description column will be excluded from the requirements. This rule applies to the following columns (refer the 'Performance' tab)
i. 'Transaction Description' column of 'Response Times - Online Txns – Requirements' table
ii. 'Batch job/Transaction Description' column of 'Response Times - Batch Jobs – Requirements' table
iii. 'Report type (adhoc/scheduled)' column of 'Response Times - Reports – Requirements' table
iv. 'Transaction Description (either Online, Batch, or Report)' column of 'Response Times - Data – Requirements' table</t>
        </is>
      </c>
      <c r="B28" s="410" t="n"/>
      <c r="C28" s="410" t="n"/>
      <c r="D28" s="410" t="n"/>
      <c r="E28" s="410" t="n"/>
      <c r="F28" s="410" t="n"/>
      <c r="G28" s="410" t="n"/>
      <c r="H28" s="411" t="n"/>
    </row>
    <row r="29" ht="126" customHeight="1">
      <c r="A29" s="351" t="inlineStr">
        <is>
          <t>• What must be done if requirements in the following tables are not applicable to the asset?
1. Response Times - Online Txns – Requirements
2. Response Times - Batch Jobs – Requirements
3. Response Times - Reports – Requirements
4. Response Times - Data – Requirements
Recommendation: Provide 'NA' against the 'Req-Id' column in the first row. Any additional information/ context can be provided in the 'Remarks' column of the same row of the corresponding table.</t>
        </is>
      </c>
      <c r="B29" s="410" t="n"/>
      <c r="C29" s="410" t="n"/>
      <c r="D29" s="410" t="n"/>
      <c r="E29" s="410" t="n"/>
      <c r="F29" s="410" t="n"/>
      <c r="G29" s="410" t="n"/>
      <c r="H29" s="411" t="n"/>
    </row>
    <row r="30" ht="124.5" customHeight="1">
      <c r="A30" s="351" t="inlineStr">
        <is>
          <t>• Auto-approval of requirements is applicable if the following conditions are met for the asset. 
1. The application is a traditional 3-tier application (having a deployment comprising of traditional Servers - Web Server, Application Server, and Database Server).
2. The number of concurrent users targeted for testing is within the range 1-200.
3. The deployment environment is on-premise dedicated VMs or IaaS (Infrastructure as a Service) Cloud VMs.
4. Irrespective of whether the deployment environment is on-premise/ cloud, if the application does not require load-balancing/ clustering strategy for supporting the load requirements.</t>
        </is>
      </c>
      <c r="B30" s="410" t="n"/>
      <c r="C30" s="410" t="n"/>
      <c r="D30" s="410" t="n"/>
      <c r="E30" s="410" t="n"/>
      <c r="F30" s="410" t="n"/>
      <c r="G30" s="410" t="n"/>
      <c r="H30" s="411" t="n"/>
    </row>
    <row r="31">
      <c r="A31" s="412" t="inlineStr">
        <is>
          <t>File format:
The auto-review features in the QOPD template work based on formulae developed for use by Microsoft Excel. The formuale that are used in the template are being verified for the version - Office 365 Pro Plus version: 2304. It has been observed that some of the formulae that are used does not work if the QOPD sheet is opened in the following spreadsheet software,
1. Office 365 Pro Plus version: 1902
2. Google Sheet
3. Apache OpenOffice Calc
that are also used by asset teams within TCS at the time of this writing. Hence use the suggested version of Office 365.</t>
        </is>
      </c>
      <c r="B31" s="413" t="n"/>
      <c r="C31" s="413" t="n"/>
      <c r="D31" s="413" t="n"/>
      <c r="E31" s="413" t="n"/>
      <c r="F31" s="413" t="n"/>
      <c r="G31" s="413" t="n"/>
      <c r="H31" s="414" t="n"/>
    </row>
    <row r="32">
      <c r="A32" s="415" t="n"/>
      <c r="H32" s="416" t="n"/>
    </row>
    <row r="33">
      <c r="A33" s="415" t="n"/>
      <c r="H33" s="416" t="n"/>
    </row>
    <row r="34">
      <c r="A34" s="415" t="n"/>
      <c r="H34" s="416" t="n"/>
    </row>
    <row r="35">
      <c r="A35" s="415" t="n"/>
      <c r="H35" s="416" t="n"/>
    </row>
    <row r="36">
      <c r="A36" s="415" t="n"/>
      <c r="H36" s="416" t="n"/>
    </row>
    <row r="37">
      <c r="A37" s="415" t="n"/>
      <c r="H37" s="416" t="n"/>
    </row>
    <row r="38">
      <c r="A38" s="415" t="n"/>
      <c r="H38" s="416" t="n"/>
    </row>
    <row r="39">
      <c r="A39" s="417" t="n"/>
      <c r="B39" s="418" t="n"/>
      <c r="C39" s="418" t="n"/>
      <c r="D39" s="418" t="n"/>
      <c r="E39" s="418" t="n"/>
      <c r="F39" s="418" t="n"/>
      <c r="G39" s="418" t="n"/>
      <c r="H39" s="419" t="n"/>
    </row>
    <row r="40" ht="12.75" customHeight="1">
      <c r="A40" s="412" t="inlineStr">
        <is>
          <t>QOPD naming convention:
Follow the naming convention for the QOPD file -&gt; '&lt;OU Name&gt;_&lt;Asset Name&gt;_&lt;Version&gt;_&lt;NFR Assessment area&gt;_QOPD_&lt;Month&gt;_&lt;Year&gt;.&lt;File Extension&gt;'. As an example, for a QOPD review request raised for a software asset with the following details in the service management portal (IPAM)
OU Name: Network Solutions Group
Asset Name with version: Rapid Miner v1.0
Service Name: Performance QOPD
Month &amp; Year of raising the review request: November 2023
the file name will be 'Network Solutions Group_Rapid Miner_v1-0_Performance_QOPD_Nov_2023'</t>
        </is>
      </c>
      <c r="B40" s="413" t="n"/>
      <c r="C40" s="413" t="n"/>
      <c r="D40" s="413" t="n"/>
      <c r="E40" s="413" t="n"/>
      <c r="F40" s="413" t="n"/>
      <c r="G40" s="413" t="n"/>
      <c r="H40" s="414" t="n"/>
    </row>
    <row r="41">
      <c r="A41" s="415" t="n"/>
      <c r="H41" s="416" t="n"/>
    </row>
    <row r="42">
      <c r="A42" s="415" t="n"/>
      <c r="H42" s="416" t="n"/>
    </row>
    <row r="43">
      <c r="A43" s="415" t="n"/>
      <c r="H43" s="416" t="n"/>
    </row>
    <row r="44">
      <c r="A44" s="415" t="n"/>
      <c r="H44" s="416" t="n"/>
    </row>
    <row r="45">
      <c r="A45" s="415" t="n"/>
      <c r="H45" s="416" t="n"/>
    </row>
    <row r="46">
      <c r="A46" s="415" t="n"/>
      <c r="H46" s="416" t="n"/>
    </row>
    <row r="47">
      <c r="A47" s="415" t="n"/>
      <c r="H47" s="416" t="n"/>
    </row>
    <row r="48">
      <c r="A48" s="415" t="n"/>
      <c r="H48" s="416" t="n"/>
    </row>
    <row r="49">
      <c r="A49" s="417" t="n"/>
      <c r="B49" s="418" t="n"/>
      <c r="C49" s="418" t="n"/>
      <c r="D49" s="418" t="n"/>
      <c r="E49" s="418" t="n"/>
      <c r="F49" s="418" t="n"/>
      <c r="G49" s="418" t="n"/>
      <c r="H49" s="419" t="n"/>
    </row>
  </sheetData>
  <sheetProtection selectLockedCells="0" selectUnlockedCells="0" algorithmName="SHA-512" sheet="1" objects="1" insertRows="1" insertHyperlinks="1" autoFilter="1" scenarios="1" formatColumns="1" deleteColumns="1" insertColumns="1" pivotTables="1" deleteRows="1" formatCells="1" saltValue="M7psLfZ0ue6XTQHuYn1Prw==" formatRows="1" sort="1" spinCount="100000" hashValue="9eaE09sPHJ+mBCm1QmWPC+vVbHPLlexcvq69jnFmDoOdkr3mwiSaeRl+PIYdnID4gur1SQtUN5Knt3DC8NPkAA=="/>
  <mergeCells count="12">
    <mergeCell ref="A26:H26"/>
    <mergeCell ref="A21:H21"/>
    <mergeCell ref="A30:H30"/>
    <mergeCell ref="A29:H29"/>
    <mergeCell ref="A5:C5"/>
    <mergeCell ref="A25:H25"/>
    <mergeCell ref="A24:H24"/>
    <mergeCell ref="A28:H28"/>
    <mergeCell ref="A31:H39"/>
    <mergeCell ref="A40:H49"/>
    <mergeCell ref="A27:H27"/>
    <mergeCell ref="A22:H22"/>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2:I25"/>
  <sheetViews>
    <sheetView zoomScale="101" zoomScaleNormal="98" workbookViewId="0">
      <selection activeCell="D5" sqref="D5"/>
    </sheetView>
  </sheetViews>
  <sheetFormatPr baseColWidth="8" defaultColWidth="8.7109375" defaultRowHeight="12"/>
  <cols>
    <col width="29.42578125" customWidth="1" style="23" min="1" max="1"/>
    <col width="47.140625" customWidth="1" style="23" min="2" max="2"/>
    <col width="14.28515625" customWidth="1" style="23" min="3" max="3"/>
    <col width="43" customWidth="1" style="23" min="4" max="4"/>
    <col width="48.28515625" customWidth="1" style="23" min="5" max="5"/>
    <col width="8.7109375" customWidth="1" style="23" min="6" max="16384"/>
  </cols>
  <sheetData>
    <row r="1" customFormat="1" s="18"/>
    <row r="2" ht="12" customFormat="1" customHeight="1" s="18">
      <c r="A2" s="359" t="inlineStr">
        <is>
          <t>Asset Information</t>
        </is>
      </c>
      <c r="B2" s="420" t="n"/>
    </row>
    <row r="3" ht="12.75" customFormat="1" customHeight="1" s="18">
      <c r="A3" s="1" t="inlineStr">
        <is>
          <t>Asset Name</t>
        </is>
      </c>
      <c r="B3" s="303" t="inlineStr">
        <is>
          <t>CodeA11y</t>
        </is>
      </c>
      <c r="E3" s="25">
        <f>Data_Validations!E3</f>
        <v/>
      </c>
    </row>
    <row r="4" ht="12.75" customFormat="1" customHeight="1" s="18">
      <c r="A4" s="1" t="inlineStr">
        <is>
          <t>Version</t>
        </is>
      </c>
      <c r="B4" s="303" t="inlineStr">
        <is>
          <t>v0.0.1</t>
        </is>
      </c>
      <c r="E4" s="25">
        <f>Data_Validations!E35</f>
        <v/>
      </c>
    </row>
    <row r="5" ht="171" customFormat="1" customHeight="1" s="18">
      <c r="A5" s="1" t="inlineStr">
        <is>
          <t>Description</t>
        </is>
      </c>
      <c r="B5" s="303" t="inlineStr">
        <is>
          <t>CodeA11y is a VS Code extension and companion Node.js/Express server for automated WCAG 2.1 accessibility analysis. It uses Azure OpenAI to audit source files (React/Angular/Vue/Svelte/HTML) for accessibility violations, generates remediation recommendations, and produces VPAT conformance reports. The server provides JWT authentication, LLM request proxying, user governance, budget controls, audit logging, and project dashboard synchronisation. Targets enterprise development teams needing WCAG A/AA compliance integrated into their VS Code workflow.</t>
        </is>
      </c>
      <c r="E5" s="25">
        <f>Data_Validations!E4</f>
        <v/>
      </c>
    </row>
    <row r="6" ht="171" customFormat="1" customHeight="1" s="18">
      <c r="A6" s="1" t="inlineStr">
        <is>
          <t>Brand Name</t>
        </is>
      </c>
      <c r="B6" s="303" t="inlineStr">
        <is>
          <t>TCS</t>
        </is>
      </c>
      <c r="E6" s="25">
        <f>Data_Validations!E36</f>
        <v/>
      </c>
    </row>
    <row r="7" ht="48" customFormat="1" customHeight="1" s="18">
      <c r="A7" s="1" t="inlineStr">
        <is>
          <t>Target Customer(s)</t>
        </is>
      </c>
      <c r="B7" s="303" t="inlineStr">
        <is>
          <t>Enterprise development teams and software engineers who use VS Code and require automated WCAG accessibility compliance checking integrated into their development workflow.</t>
        </is>
      </c>
    </row>
    <row r="8" ht="12.75" customFormat="1" customHeight="1" s="18">
      <c r="A8" s="1" t="inlineStr">
        <is>
          <t>TCS Unit</t>
        </is>
      </c>
      <c r="B8" s="303" t="inlineStr">
        <is>
          <t>IP&amp;E SPD</t>
        </is>
      </c>
    </row>
    <row r="9" ht="12.75" customFormat="1" customHeight="1" s="18">
      <c r="A9" s="1" t="inlineStr">
        <is>
          <t xml:space="preserve">Location </t>
        </is>
      </c>
      <c r="B9" s="303" t="inlineStr">
        <is>
          <t>Provide the Product team location</t>
        </is>
      </c>
    </row>
    <row r="10" ht="12.75" customFormat="1" customHeight="1" s="18">
      <c r="A10" s="1" t="inlineStr">
        <is>
          <t>Product/ Account Owner</t>
        </is>
      </c>
      <c r="B10" s="303" t="inlineStr">
        <is>
          <t>IP&amp;E SPD Team</t>
        </is>
      </c>
    </row>
    <row r="11" ht="12.75" customFormat="1" customHeight="1" s="18">
      <c r="A11" s="1" t="inlineStr">
        <is>
          <t>TIPAR ID</t>
        </is>
      </c>
      <c r="B11" s="303" t="inlineStr">
        <is>
          <t>TBD - Obtain from IPAM before submission</t>
        </is>
      </c>
      <c r="E11" s="25">
        <f>Data_Validations!E39</f>
        <v/>
      </c>
    </row>
    <row r="12" customFormat="1" s="18"/>
    <row r="13" ht="12.75" customFormat="1" customHeight="1" s="18">
      <c r="A13" s="24" t="inlineStr">
        <is>
          <t>Provide the technical details of the Asset, answering the following questions</t>
        </is>
      </c>
      <c r="B13" s="19" t="n"/>
      <c r="C13" s="20" t="n"/>
      <c r="D13" s="21" t="n"/>
      <c r="E13" s="21" t="n"/>
    </row>
    <row r="14" ht="12" customFormat="1" customHeight="1" s="18" thickBot="1">
      <c r="A14" s="359" t="inlineStr">
        <is>
          <t>Technical Details of the Asset</t>
        </is>
      </c>
      <c r="B14" s="420" t="n"/>
      <c r="C14" s="420" t="n"/>
      <c r="D14" s="420" t="n"/>
      <c r="E14" s="420" t="n"/>
      <c r="I14" s="22" t="n"/>
    </row>
    <row r="15" ht="13.5" customFormat="1" customHeight="1" s="18" thickBot="1">
      <c r="A15" s="219" t="inlineStr">
        <is>
          <t>Sl.No.</t>
        </is>
      </c>
      <c r="B15" s="1" t="inlineStr">
        <is>
          <t>Question</t>
        </is>
      </c>
      <c r="C15" s="1" t="inlineStr">
        <is>
          <t>Response</t>
        </is>
      </c>
      <c r="D15" s="1" t="inlineStr">
        <is>
          <t>Remarks</t>
        </is>
      </c>
      <c r="E15" s="1" t="inlineStr">
        <is>
          <t>Note</t>
        </is>
      </c>
    </row>
    <row r="16" ht="51" customFormat="1" customHeight="1" s="18">
      <c r="A16" s="220" t="n">
        <v>1</v>
      </c>
      <c r="B16" s="221" t="inlineStr">
        <is>
          <t>Which deployment category does the asset belong? (Standalone Desktop, On-premise Web, Cloud)</t>
        </is>
      </c>
      <c r="C16" s="196" t="inlineStr">
        <is>
          <t>Cloud</t>
        </is>
      </c>
      <c r="D16" s="200" t="n"/>
      <c r="E16" s="227" t="inlineStr">
        <is>
          <t>If the asset does not belong to any of the given types, set it as 'Others' and provide the new category name in 'Remarks' column with a short explanation following the name.</t>
        </is>
      </c>
    </row>
    <row r="17" ht="69.75" customFormat="1" customHeight="1" s="18">
      <c r="A17" s="220" t="n">
        <v>2</v>
      </c>
      <c r="B17" s="124" t="inlineStr">
        <is>
          <t>If the asset is deployed in Cloud, provide the Cloud vendor's name (AWS, Azure, Google Cloud, IBM, Vistara)</t>
        </is>
      </c>
      <c r="C17" s="199" t="inlineStr">
        <is>
          <t>Azure</t>
        </is>
      </c>
      <c r="D17" s="200" t="n"/>
      <c r="E17" s="228" t="inlineStr">
        <is>
          <t>If the deployment environment is none among the given names, set it as 'Others' and provide the vendor name in 'Remarks' column with a short explanation following the name. If it does not apply, set is as 'NA'</t>
        </is>
      </c>
    </row>
    <row r="18" ht="42.75" customFormat="1" customHeight="1" s="18">
      <c r="A18" s="220" t="n">
        <v>3</v>
      </c>
      <c r="B18" s="124" t="inlineStr">
        <is>
          <t>If the asset is deployed in Cloud, which is Cloud Computing Stack modeled for the asset? (IAAS, PAAS, SAAS)</t>
        </is>
      </c>
      <c r="C18" s="199" t="inlineStr">
        <is>
          <t>PAAS</t>
        </is>
      </c>
      <c r="D18" s="199" t="n"/>
      <c r="E18" s="228" t="inlineStr">
        <is>
          <t>Provide the right choice of Cloud Computing Stack model. If it does not apply, set is as 'NA'</t>
        </is>
      </c>
    </row>
    <row r="19" ht="42.75" customFormat="1" customHeight="1" s="18">
      <c r="A19" s="220" t="n">
        <v>4</v>
      </c>
      <c r="B19" s="222" t="inlineStr">
        <is>
          <t>Which is the Geographic location of the cloud datacenter?</t>
        </is>
      </c>
      <c r="C19" s="199" t="inlineStr">
        <is>
          <t>Azure East US</t>
        </is>
      </c>
      <c r="D19" s="200" t="n"/>
      <c r="E19" s="229" t="inlineStr">
        <is>
          <t>Provide geographic location of the cloud datacenter</t>
        </is>
      </c>
    </row>
    <row r="20" ht="36" customFormat="1" customHeight="1" s="18">
      <c r="A20" s="220" t="n">
        <v>5</v>
      </c>
      <c r="B20" s="222" t="inlineStr">
        <is>
          <t>Irrespective of On-premise web/ Cloud, is the asset deployment architecture following a load balancing and clustering strategy? (Yes/ No)</t>
        </is>
      </c>
      <c r="C20" s="200" t="inlineStr">
        <is>
          <t>No</t>
        </is>
      </c>
      <c r="D20" s="200" t="n"/>
      <c r="E20" s="229" t="n"/>
    </row>
    <row r="21" ht="63.75" customFormat="1" customHeight="1" s="18">
      <c r="A21" s="220" t="n">
        <v>6</v>
      </c>
      <c r="B21" s="222" t="inlineStr">
        <is>
          <t>If the asset is following load balancing and clustering strategy, how does it scale? (Auto-scaling VM instance pool, Auto-scaling Containers)</t>
        </is>
      </c>
      <c r="C21" s="200" t="inlineStr">
        <is>
          <t>NA</t>
        </is>
      </c>
      <c r="D21" s="200" t="n"/>
      <c r="E21" s="229" t="inlineStr">
        <is>
          <t>If the load balancing and clustering strategy is none among the given strategies, set it as 'Others' and provide the strategy name in the 'Remarks' column with a short explanation following the name. If it does not apply, set is as 'NA'</t>
        </is>
      </c>
    </row>
    <row r="22" ht="48" customFormat="1" customHeight="1" s="18">
      <c r="A22" s="220" t="n">
        <v>7</v>
      </c>
      <c r="B22" s="222" t="inlineStr">
        <is>
          <t>Technology Stack applicable to the asset (Normal Web, Big Data, Blockchain, AI-ML, IoT, Google API - Firebase, Power BI, Salesforce.com, SAP-based, AR-VR, Video Recording/ Streaming)</t>
        </is>
      </c>
      <c r="C22" s="200" t="inlineStr">
        <is>
          <t>AI-ML</t>
        </is>
      </c>
      <c r="D22" s="200" t="n"/>
      <c r="E22" s="229" t="n"/>
      <c r="F22" s="77" t="n"/>
      <c r="G22" s="77" t="n"/>
      <c r="H22" s="77" t="n"/>
      <c r="I22" s="77" t="n"/>
    </row>
    <row r="23" ht="36" customFormat="1" customHeight="1" s="18">
      <c r="A23" s="220" t="n">
        <v>8</v>
      </c>
      <c r="B23" s="222" t="inlineStr">
        <is>
          <t>Application Type applicable to the asset (Web-based, Desktop, Mobile, API-based, Web Services, Batch, Rich client)</t>
        </is>
      </c>
      <c r="C23" s="200" t="inlineStr">
        <is>
          <t>Web-based</t>
        </is>
      </c>
      <c r="D23" s="200" t="n"/>
      <c r="E23" s="229" t="n"/>
      <c r="F23" s="77" t="n"/>
      <c r="G23" s="77" t="n"/>
      <c r="H23" s="77" t="n"/>
      <c r="I23" s="77" t="n"/>
    </row>
    <row r="24" ht="25.5" customFormat="1" customHeight="1" s="18">
      <c r="A24" s="223" t="n">
        <v>9</v>
      </c>
      <c r="B24" s="224" t="inlineStr">
        <is>
          <t>Is the response time requirement Transaction wise or request wise?</t>
        </is>
      </c>
      <c r="C24" s="200" t="inlineStr">
        <is>
          <t>Request wise</t>
        </is>
      </c>
      <c r="D24" s="200" t="n"/>
      <c r="E24" s="229" t="inlineStr">
        <is>
          <t>How the response time should be captured?  Transaction wise or request wise?</t>
        </is>
      </c>
    </row>
    <row r="25" ht="114.75" customFormat="1" customHeight="1" s="18">
      <c r="A25" s="225" t="n">
        <v>10</v>
      </c>
      <c r="B25" s="226" t="inlineStr">
        <is>
          <t>Is the expected response/ completion time SLA of all online, report, and batch transactions of the asset known?</t>
        </is>
      </c>
      <c r="C25" s="218" t="inlineStr">
        <is>
          <t>Yes</t>
        </is>
      </c>
      <c r="D25" s="218" t="n"/>
      <c r="E25" s="230" t="inlineStr">
        <is>
          <t>If the expected SLA is known, performance testing results will be checked for compliance with the requirements (whether the transaction passed or failed the SLA criterion). If the expected SLA is unknown, performance testing results will have only the tested response time value and not the pass/ fail information. In either case Performance testing report will be published, and subsequently the asset will be considered for review and scoring certification.</t>
        </is>
      </c>
    </row>
    <row r="26" customFormat="1" s="18"/>
  </sheetData>
  <sheetProtection selectLockedCells="0" selectUnlockedCells="0" sheet="1" objects="1" insertRows="1" insertHyperlinks="1" autoFilter="1" scenarios="1" formatColumns="1" deleteColumns="1" insertColumns="1" pivotTables="1" deleteRows="1" formatCells="0" formatRows="1" sort="1"/>
  <mergeCells count="2">
    <mergeCell ref="A2:B2"/>
    <mergeCell ref="A14:E14"/>
  </mergeCells>
  <dataValidations count="9">
    <dataValidation sqref="E4" showDropDown="0" showInputMessage="1" showErrorMessage="1" allowBlank="1" promptTitle="Asset Information" prompt="Checks if proper version number is present for the asset"/>
    <dataValidation sqref="E5" showDropDown="0" showInputMessage="1" showErrorMessage="1" allowBlank="1" promptTitle="Asset Information" prompt="Check if description length is greater than 100 characters"/>
    <dataValidation sqref="C24" showDropDown="0" showInputMessage="1" showErrorMessage="1" allowBlank="1" type="list">
      <formula1>"Request wise,Transaction wise"</formula1>
    </dataValidation>
    <dataValidation sqref="E6" showDropDown="0" showInputMessage="1" showErrorMessage="1" allowBlank="1" promptTitle="Asset Information" prompt="Check if Brand Name is greater than or equal to 3 characters"/>
    <dataValidation sqref="E3" showDropDown="0" showInputMessage="1" showErrorMessage="1" allowBlank="1" promptTitle="Asset Information" prompt="Check if name of the asset is provided"/>
    <dataValidation sqref="E11" showDropDown="0" showInputMessage="1" showErrorMessage="1" allowBlank="1" promptTitle="Asset Information" prompt="Checks if TIPAR ID is provided for the product"/>
    <dataValidation sqref="C35" showDropDown="0" showInputMessage="1" showErrorMessage="1" allowBlank="1"/>
    <dataValidation sqref="B5" showDropDown="0" showInputMessage="1" showErrorMessage="1" allowBlank="1" errorTitle="Description" error="The description is not a text value complying to the character length constraints." promptTitle="Description" prompt="Provide the description - text value of length greater than or equal to 100 is allowed." type="custom">
      <formula1>AND(ISTEXT(B5),LEN(B5)&gt;=100)</formula1>
    </dataValidation>
    <dataValidation sqref="B6" showDropDown="0" showInputMessage="1" showErrorMessage="1" allowBlank="1" errorTitle="Brand Name" error="The Brand Name is not a text value complying to the character length constraints." promptTitle="Brand Name" prompt="Provide the Brand Name - text value of length greater than or equal to 3 is allowed." type="custom">
      <formula1>AND(ISTEXT(B6),LEN(B6)&gt;=3)</formula1>
    </dataValidation>
  </dataValidations>
  <pageMargins left="0.7" right="0.7" top="0.75" bottom="0.75" header="0.5118055555555555" footer="0.5118055555555555"/>
  <pageSetup orientation="portrait" firstPageNumber="0" horizontalDpi="300" verticalDpi="300"/>
</worksheet>
</file>

<file path=xl/worksheets/sheet4.xml><?xml version="1.0" encoding="utf-8"?>
<worksheet xmlns="http://schemas.openxmlformats.org/spreadsheetml/2006/main">
  <sheetPr>
    <outlinePr summaryBelow="1" summaryRight="1"/>
    <pageSetUpPr fitToPage="1"/>
  </sheetPr>
  <dimension ref="A1:O168"/>
  <sheetViews>
    <sheetView tabSelected="1" zoomScaleNormal="100" workbookViewId="0">
      <selection activeCell="H128" sqref="H128"/>
    </sheetView>
  </sheetViews>
  <sheetFormatPr baseColWidth="8" defaultColWidth="8.7109375" defaultRowHeight="15"/>
  <cols>
    <col width="4.28515625" customWidth="1" style="29" min="1" max="1"/>
    <col width="18" customWidth="1" style="29" min="2" max="2"/>
    <col width="21.42578125" customWidth="1" style="57" min="3" max="3"/>
    <col width="17.42578125" customWidth="1" style="29" min="4" max="4"/>
    <col width="11.85546875" customWidth="1" style="29" min="5" max="5"/>
    <col width="11.42578125" customWidth="1" style="29" min="6" max="6"/>
    <col width="11.5703125" customWidth="1" style="29" min="7" max="7"/>
    <col width="13.7109375" customWidth="1" style="29" min="8" max="8"/>
    <col width="12.42578125" customWidth="1" style="29" min="9" max="9"/>
    <col width="10.140625" customWidth="1" style="29" min="10" max="10"/>
    <col width="9.5703125" customWidth="1" style="29" min="11" max="11"/>
    <col width="10.85546875" customWidth="1" style="29" min="12" max="12"/>
    <col width="6.140625" customWidth="1" style="29" min="13" max="13"/>
    <col width="19" customWidth="1" style="29" min="14" max="14"/>
    <col width="69.5703125" customWidth="1" style="29" min="15" max="15"/>
    <col width="8.7109375" customWidth="1" style="29" min="16" max="16384"/>
  </cols>
  <sheetData>
    <row r="1">
      <c r="B1" s="27" t="n"/>
      <c r="C1" s="28" t="n"/>
      <c r="D1" s="27" t="n"/>
    </row>
    <row r="2">
      <c r="C2" s="28" t="n"/>
      <c r="D2" s="27" t="n"/>
    </row>
    <row r="3" ht="15.75" customHeight="1" thickBot="1">
      <c r="B3" s="24" t="inlineStr">
        <is>
          <t>Provide the deployment data to the extent it is known. Usually, this information is available if there is already an existing asset that will be replaced by this asset.</t>
        </is>
      </c>
      <c r="C3" s="28" t="n"/>
      <c r="D3" s="27" t="n"/>
    </row>
    <row r="4" ht="15.75" customHeight="1" thickBot="1">
      <c r="B4" s="421" t="inlineStr">
        <is>
          <t>Deployment Requirements</t>
        </is>
      </c>
      <c r="C4" s="422" t="n"/>
      <c r="D4" s="422" t="n"/>
      <c r="E4" s="422" t="n"/>
      <c r="F4" s="423" t="n"/>
      <c r="I4" s="90">
        <f>Data_Validations!E5</f>
        <v/>
      </c>
    </row>
    <row r="5">
      <c r="B5" s="79" t="inlineStr">
        <is>
          <t>Server</t>
        </is>
      </c>
      <c r="C5" s="81" t="inlineStr">
        <is>
          <t>Number of Instances</t>
        </is>
      </c>
      <c r="D5" s="82" t="inlineStr">
        <is>
          <t>CPU cores</t>
        </is>
      </c>
      <c r="E5" s="84" t="inlineStr">
        <is>
          <t>RAM in GB</t>
        </is>
      </c>
      <c r="F5" s="83" t="inlineStr">
        <is>
          <t>Remarks</t>
        </is>
      </c>
      <c r="H5" s="30" t="n"/>
      <c r="I5" s="91">
        <f>Data_Validations!E34</f>
        <v/>
      </c>
    </row>
    <row r="6" ht="17.45" customHeight="1">
      <c r="B6" s="197" t="inlineStr">
        <is>
          <t>Web Server</t>
        </is>
      </c>
      <c r="C6" s="44" t="n">
        <v>1</v>
      </c>
      <c r="D6" s="32" t="n">
        <v>2</v>
      </c>
      <c r="E6" s="31" t="n">
        <v>4</v>
      </c>
      <c r="F6" s="201" t="n"/>
      <c r="H6" s="30" t="n"/>
      <c r="I6" s="91">
        <f>Data_Validations!E37</f>
        <v/>
      </c>
    </row>
    <row r="7" ht="17.45" customHeight="1">
      <c r="B7" s="33" t="n"/>
      <c r="D7" s="39" t="n"/>
      <c r="E7" s="39" t="n"/>
      <c r="F7" s="43" t="n"/>
      <c r="H7" s="30" t="n"/>
      <c r="I7" s="91">
        <f>Data_Validations!E38</f>
        <v/>
      </c>
    </row>
    <row r="8">
      <c r="B8" s="197" t="inlineStr">
        <is>
          <t>Application Server</t>
        </is>
      </c>
      <c r="C8" s="44" t="n">
        <v>1</v>
      </c>
      <c r="D8" s="31" t="n">
        <v>2</v>
      </c>
      <c r="E8" s="31" t="n">
        <v>4</v>
      </c>
      <c r="F8" s="202" t="n"/>
      <c r="H8" s="30" t="n"/>
    </row>
    <row r="9">
      <c r="B9" s="33" t="n"/>
      <c r="D9" s="39" t="n"/>
      <c r="E9" s="39" t="n"/>
      <c r="F9" s="43" t="n"/>
      <c r="H9" s="30" t="n"/>
    </row>
    <row r="10">
      <c r="B10" s="197" t="inlineStr">
        <is>
          <t>Content/Image server</t>
        </is>
      </c>
      <c r="C10" s="31" t="n">
        <v>1</v>
      </c>
      <c r="D10" s="31" t="n">
        <v>2</v>
      </c>
      <c r="E10" s="31" t="n">
        <v>4</v>
      </c>
      <c r="F10" s="202" t="inlineStr">
        <is>
          <t>Static portal assets served directly by Node.js/Express; no separate content/image server</t>
        </is>
      </c>
      <c r="H10" s="30" t="n"/>
    </row>
    <row r="11">
      <c r="B11" s="33" t="n"/>
      <c r="D11" s="39" t="n"/>
      <c r="E11" s="39" t="n"/>
      <c r="F11" s="43" t="n"/>
      <c r="H11" s="30" t="n"/>
    </row>
    <row r="12">
      <c r="B12" s="197" t="inlineStr">
        <is>
          <t>DB Server</t>
        </is>
      </c>
      <c r="C12" s="31" t="n">
        <v>1</v>
      </c>
      <c r="D12" s="31" t="n">
        <v>2</v>
      </c>
      <c r="E12" s="31" t="n">
        <v>8</v>
      </c>
      <c r="F12" s="43" t="n"/>
      <c r="H12" s="30" t="n"/>
    </row>
    <row r="13">
      <c r="B13" s="33" t="n"/>
      <c r="C13" s="39" t="n"/>
      <c r="D13" s="39" t="n"/>
      <c r="E13" s="39" t="n"/>
      <c r="F13" s="43" t="n"/>
      <c r="H13" s="30" t="n"/>
    </row>
    <row r="14">
      <c r="B14" s="33" t="n"/>
      <c r="C14" s="39" t="n"/>
      <c r="D14" s="39" t="n"/>
      <c r="E14" s="39" t="n"/>
      <c r="F14" s="43" t="n"/>
      <c r="H14" s="30" t="n"/>
    </row>
    <row r="15">
      <c r="B15" s="33" t="n"/>
      <c r="C15" s="39" t="n"/>
      <c r="D15" s="39" t="n"/>
      <c r="E15" s="39" t="n"/>
      <c r="F15" s="43" t="n"/>
      <c r="H15" s="30" t="n"/>
    </row>
    <row r="16">
      <c r="B16" s="34" t="n"/>
      <c r="C16" s="203" t="n"/>
      <c r="D16" s="203" t="n"/>
      <c r="E16" s="203" t="n"/>
      <c r="F16" s="204" t="n"/>
      <c r="H16" s="30" t="n"/>
    </row>
    <row r="17" customFormat="1" s="86">
      <c r="B17" s="85" t="n"/>
    </row>
    <row r="18" customFormat="1" s="86">
      <c r="B18" s="85" t="n"/>
    </row>
    <row r="19" customFormat="1" s="86"/>
    <row r="20" ht="15.75" customFormat="1" customHeight="1" s="86" thickBot="1">
      <c r="B20" s="85" t="inlineStr">
        <is>
          <t>Mention if the product needs to work in alternative technologies as well</t>
        </is>
      </c>
    </row>
    <row r="21" ht="16.5" customHeight="1" thickBot="1">
      <c r="B21" s="421" t="inlineStr">
        <is>
          <t>Software Stack - Information</t>
        </is>
      </c>
      <c r="C21" s="422" t="n"/>
      <c r="D21" s="422" t="n"/>
      <c r="E21" s="422" t="n"/>
      <c r="F21" s="423" t="n"/>
      <c r="G21" s="30" t="n"/>
      <c r="H21" s="30" t="n"/>
      <c r="I21" s="91">
        <f>Data_Validations!E6</f>
        <v/>
      </c>
    </row>
    <row r="22" ht="15.75" customHeight="1" thickBot="1">
      <c r="B22" s="79" t="inlineStr">
        <is>
          <t>Server</t>
        </is>
      </c>
      <c r="C22" s="1" t="inlineStr">
        <is>
          <t>Category</t>
        </is>
      </c>
      <c r="D22" s="87" t="inlineStr">
        <is>
          <t>Name</t>
        </is>
      </c>
      <c r="E22" s="84" t="inlineStr">
        <is>
          <t>Version</t>
        </is>
      </c>
      <c r="F22" s="83" t="inlineStr">
        <is>
          <t>Remarks</t>
        </is>
      </c>
      <c r="G22" s="30" t="n"/>
      <c r="H22" s="30" t="n"/>
      <c r="I22" s="91">
        <f>Data_Validations!E7</f>
        <v/>
      </c>
    </row>
    <row r="23">
      <c r="B23" s="88" t="inlineStr">
        <is>
          <t>Software - Web Server</t>
        </is>
      </c>
      <c r="C23" s="89" t="inlineStr">
        <is>
          <t>Web server (e.g. Apache)</t>
        </is>
      </c>
      <c r="D23" s="31" t="inlineStr">
        <is>
          <t>Node.js + Express</t>
        </is>
      </c>
      <c r="E23" s="240" t="inlineStr">
        <is>
          <t>4.18.2</t>
        </is>
      </c>
      <c r="F23" s="35" t="n"/>
      <c r="G23" s="30" t="n"/>
      <c r="H23" s="30" t="n"/>
    </row>
    <row r="24">
      <c r="B24" s="36" t="n"/>
      <c r="C24" s="37" t="n"/>
      <c r="D24" s="37" t="n"/>
      <c r="E24" s="37" t="n"/>
      <c r="F24" s="35" t="n"/>
      <c r="G24" s="30" t="n"/>
      <c r="H24" s="30" t="n"/>
    </row>
    <row r="25">
      <c r="B25" s="36" t="n"/>
      <c r="C25" s="37" t="n"/>
      <c r="D25" s="37" t="n"/>
      <c r="E25" s="37" t="n"/>
      <c r="F25" s="35" t="n"/>
      <c r="G25" s="30" t="n"/>
      <c r="H25" s="30" t="n"/>
    </row>
    <row r="26" ht="15.75" customHeight="1" thickBot="1">
      <c r="B26" s="38" t="n"/>
      <c r="C26" s="39" t="n"/>
      <c r="D26" s="39" t="n"/>
      <c r="E26" s="39" t="n"/>
      <c r="F26" s="43" t="n"/>
      <c r="G26" s="30" t="n"/>
      <c r="H26" s="30" t="n"/>
    </row>
    <row r="27">
      <c r="B27" s="88" t="inlineStr">
        <is>
          <t>Application Server</t>
        </is>
      </c>
      <c r="C27" s="239" t="inlineStr">
        <is>
          <t>Application Server (e.g Jboss)</t>
        </is>
      </c>
      <c r="D27" s="240" t="inlineStr">
        <is>
          <t>Node.js</t>
        </is>
      </c>
      <c r="E27" s="241" t="inlineStr">
        <is>
          <t>24.11.0</t>
        </is>
      </c>
      <c r="F27" s="242" t="n"/>
      <c r="G27" s="30" t="n"/>
      <c r="H27" s="30" t="n"/>
      <c r="I27" s="30" t="n"/>
      <c r="J27" s="30" t="n"/>
      <c r="K27" s="30" t="n"/>
    </row>
    <row r="28">
      <c r="B28" s="41" t="n"/>
      <c r="C28" s="238" t="n"/>
      <c r="D28" s="37" t="n"/>
      <c r="E28" s="37" t="n"/>
      <c r="F28" s="35" t="n"/>
      <c r="G28" s="30" t="n"/>
      <c r="H28" s="30" t="n"/>
    </row>
    <row r="29">
      <c r="B29" s="41" t="n"/>
      <c r="C29" s="37" t="inlineStr">
        <is>
          <t>Language (e.g JDK)</t>
        </is>
      </c>
      <c r="D29" s="31" t="inlineStr">
        <is>
          <t>TypeScript</t>
        </is>
      </c>
      <c r="E29" s="31" t="inlineStr">
        <is>
          <t>5.3.0</t>
        </is>
      </c>
      <c r="F29" s="35" t="n"/>
      <c r="G29" s="30" t="n"/>
      <c r="H29" s="30" t="n"/>
    </row>
    <row r="30">
      <c r="B30" s="41" t="n"/>
      <c r="C30" s="37" t="n"/>
      <c r="D30" s="31" t="n"/>
      <c r="E30" s="31" t="n"/>
      <c r="F30" s="35" t="n"/>
      <c r="G30" s="30" t="n"/>
      <c r="H30" s="30" t="n"/>
    </row>
    <row r="31">
      <c r="B31" s="41" t="n"/>
      <c r="C31" s="41" t="inlineStr">
        <is>
          <t>Javascript libraries/packages (extJs etc)</t>
        </is>
      </c>
      <c r="D31" s="31" t="inlineStr">
        <is>
          <t>VS Code Extension API</t>
        </is>
      </c>
      <c r="E31" s="195" t="inlineStr">
        <is>
          <t>1.85.0</t>
        </is>
      </c>
      <c r="F31" s="35" t="n"/>
      <c r="G31" s="30" t="n"/>
      <c r="H31" s="30" t="n"/>
    </row>
    <row r="32">
      <c r="B32" s="41" t="n"/>
      <c r="C32" s="41" t="n"/>
      <c r="D32" s="31" t="n"/>
      <c r="E32" s="195" t="n"/>
      <c r="F32" s="35" t="n"/>
      <c r="G32" s="30" t="n"/>
      <c r="H32" s="30" t="n"/>
    </row>
    <row r="33">
      <c r="B33" s="41" t="n"/>
      <c r="C33" s="41" t="inlineStr">
        <is>
          <t>Frameworks (e.g Spring, Struts…)</t>
        </is>
      </c>
      <c r="D33" s="31" t="inlineStr">
        <is>
          <t>Express</t>
        </is>
      </c>
      <c r="E33" s="195" t="inlineStr">
        <is>
          <t>4.18.2</t>
        </is>
      </c>
      <c r="F33" s="35" t="n"/>
      <c r="G33" s="30" t="n"/>
      <c r="H33" s="30" t="n"/>
    </row>
    <row r="34">
      <c r="B34" s="41" t="n"/>
      <c r="C34" s="41" t="n"/>
      <c r="D34" s="31" t="n"/>
      <c r="E34" s="195" t="n"/>
      <c r="F34" s="35" t="n"/>
      <c r="G34" s="30" t="n"/>
      <c r="H34" s="30" t="n"/>
    </row>
    <row r="35">
      <c r="B35" s="41" t="n"/>
      <c r="C35" s="41" t="inlineStr">
        <is>
          <t>Logging</t>
        </is>
      </c>
      <c r="D35" s="31" t="inlineStr"/>
      <c r="E35" s="195" t="inlineStr"/>
      <c r="F35" s="35" t="n"/>
      <c r="G35" s="30" t="n"/>
      <c r="H35" s="30" t="n"/>
    </row>
    <row r="36">
      <c r="B36" s="41" t="n"/>
      <c r="C36" s="41" t="n"/>
      <c r="D36" s="31" t="n"/>
      <c r="E36" s="195" t="n"/>
      <c r="F36" s="35" t="n"/>
      <c r="G36" s="30" t="n"/>
      <c r="H36" s="30" t="n"/>
    </row>
    <row r="37">
      <c r="B37" s="41" t="n"/>
      <c r="C37" s="41" t="inlineStr">
        <is>
          <t>Middleware (e.g JMS …)</t>
        </is>
      </c>
      <c r="D37" s="31" t="inlineStr">
        <is>
          <t>Helmet + express-rate-limit</t>
        </is>
      </c>
      <c r="E37" s="195" t="inlineStr">
        <is>
          <t>7.1.0 / 7.5.0</t>
        </is>
      </c>
      <c r="F37" s="35" t="n"/>
      <c r="G37" s="30" t="n"/>
      <c r="H37" s="30" t="n"/>
    </row>
    <row r="38">
      <c r="B38" s="41" t="n"/>
      <c r="C38" s="41" t="n"/>
      <c r="D38" s="37" t="n"/>
      <c r="E38" s="195" t="n"/>
      <c r="F38" s="35" t="n"/>
      <c r="G38" s="30" t="n"/>
      <c r="H38" s="30" t="n"/>
    </row>
    <row r="39">
      <c r="B39" s="41" t="n"/>
      <c r="C39" s="41" t="inlineStr">
        <is>
          <t>Search Engine</t>
        </is>
      </c>
      <c r="D39" s="37" t="n"/>
      <c r="E39" s="195" t="n"/>
      <c r="F39" s="35" t="n"/>
      <c r="G39" s="30" t="n"/>
      <c r="H39" s="30" t="n"/>
    </row>
    <row r="40">
      <c r="B40" s="41" t="n"/>
      <c r="C40" s="41" t="n"/>
      <c r="D40" s="37" t="n"/>
      <c r="E40" s="195" t="n"/>
      <c r="F40" s="35" t="n"/>
      <c r="G40" s="30" t="n"/>
      <c r="H40" s="30" t="n"/>
    </row>
    <row r="41">
      <c r="B41" s="41" t="n"/>
      <c r="C41" s="41" t="inlineStr">
        <is>
          <t>Content Mgmt system</t>
        </is>
      </c>
      <c r="D41" s="37" t="n"/>
      <c r="E41" s="195" t="n"/>
      <c r="F41" s="35" t="n"/>
      <c r="G41" s="30" t="n"/>
      <c r="H41" s="30" t="n"/>
    </row>
    <row r="42">
      <c r="B42" s="41" t="n"/>
      <c r="C42" s="41" t="n"/>
      <c r="D42" s="37" t="n"/>
      <c r="E42" s="195" t="n"/>
      <c r="F42" s="35" t="n"/>
      <c r="G42" s="30" t="n"/>
      <c r="H42" s="30" t="n"/>
    </row>
    <row r="43">
      <c r="B43" s="41" t="n"/>
      <c r="C43" s="41" t="inlineStr">
        <is>
          <t>3rd party products (e.g SMS gateway etc)</t>
        </is>
      </c>
      <c r="D43" s="195" t="inlineStr">
        <is>
          <t>Playwright (runtime page analysis)</t>
        </is>
      </c>
      <c r="E43" s="195" t="inlineStr">
        <is>
          <t>1.60.0</t>
        </is>
      </c>
      <c r="F43" s="35" t="n"/>
      <c r="G43" s="30" t="n"/>
      <c r="H43" s="30" t="n"/>
    </row>
    <row r="44">
      <c r="B44" s="41" t="n"/>
      <c r="C44" s="41" t="n"/>
      <c r="D44" s="195" t="inlineStr">
        <is>
          <t>OpenAI SDK (Azure OpenAI proxy client)</t>
        </is>
      </c>
      <c r="E44" s="195" t="inlineStr">
        <is>
          <t>6.18.0</t>
        </is>
      </c>
      <c r="F44" s="35" t="n"/>
      <c r="G44" s="30" t="n"/>
      <c r="H44" s="30" t="n"/>
    </row>
    <row r="45">
      <c r="B45" s="41" t="n"/>
      <c r="C45" s="37" t="n"/>
      <c r="D45" s="195" t="inlineStr">
        <is>
          <t>jsonwebtoken</t>
        </is>
      </c>
      <c r="E45" s="195" t="inlineStr">
        <is>
          <t>9.0.2</t>
        </is>
      </c>
      <c r="F45" s="35" t="n"/>
      <c r="G45" s="30" t="n"/>
      <c r="H45" s="30" t="n"/>
    </row>
    <row r="46">
      <c r="B46" s="41" t="n"/>
      <c r="C46" s="37" t="n"/>
      <c r="D46" s="195" t="inlineStr">
        <is>
          <t>multer (VSIX upload handling)</t>
        </is>
      </c>
      <c r="E46" s="195" t="inlineStr">
        <is>
          <t>2.2.0</t>
        </is>
      </c>
      <c r="F46" s="35" t="n"/>
      <c r="G46" s="30" t="n"/>
      <c r="H46" s="30" t="n"/>
    </row>
    <row r="47">
      <c r="B47" s="41" t="n"/>
      <c r="C47" s="37" t="n"/>
      <c r="D47" s="195" t="inlineStr">
        <is>
          <t>sql.js (SQLite dev / no-DB mode)</t>
        </is>
      </c>
      <c r="E47" s="195" t="inlineStr">
        <is>
          <t>1.13.0</t>
        </is>
      </c>
      <c r="F47" s="35" t="n"/>
      <c r="G47" s="30" t="n"/>
      <c r="H47" s="30" t="n"/>
    </row>
    <row r="48">
      <c r="B48" s="41" t="n"/>
      <c r="C48" s="37" t="n"/>
      <c r="D48" s="195" t="inlineStr"/>
      <c r="E48" s="195" t="inlineStr"/>
      <c r="F48" s="35" t="n"/>
      <c r="G48" s="30" t="n"/>
      <c r="H48" s="30" t="n"/>
    </row>
    <row r="49">
      <c r="B49" s="41" t="n"/>
      <c r="C49" s="37" t="n"/>
      <c r="D49" s="195" t="inlineStr"/>
      <c r="E49" s="195" t="inlineStr"/>
      <c r="F49" s="35" t="n"/>
      <c r="G49" s="30" t="n"/>
      <c r="H49" s="30" t="n"/>
    </row>
    <row r="50">
      <c r="B50" s="41" t="n"/>
      <c r="C50" s="42" t="n"/>
      <c r="D50" s="195" t="inlineStr"/>
      <c r="E50" s="195" t="inlineStr"/>
      <c r="F50" s="35" t="n"/>
      <c r="G50" s="30" t="n"/>
      <c r="H50" s="30" t="n"/>
    </row>
    <row r="51" ht="21" customHeight="1">
      <c r="B51" s="36" t="n"/>
      <c r="C51" s="37" t="n"/>
      <c r="D51" s="195" t="n"/>
      <c r="E51" s="195" t="n"/>
      <c r="F51" s="35" t="n"/>
      <c r="G51" s="30" t="n"/>
      <c r="H51" s="30" t="n"/>
    </row>
    <row r="52">
      <c r="B52" s="38" t="n"/>
      <c r="C52" s="39" t="n"/>
      <c r="D52" s="31" t="n"/>
      <c r="E52" s="37" t="n"/>
      <c r="F52" s="43" t="n"/>
      <c r="G52" s="30" t="n"/>
      <c r="H52" s="30" t="n"/>
    </row>
    <row r="53">
      <c r="B53" s="88" t="inlineStr">
        <is>
          <t>DB Server</t>
        </is>
      </c>
      <c r="C53" s="239" t="inlineStr">
        <is>
          <t>DB Server (e.g. MySQL)</t>
        </is>
      </c>
      <c r="D53" s="240" t="inlineStr">
        <is>
          <t>Postgres</t>
        </is>
      </c>
      <c r="E53" s="241" t="n">
        <v>16</v>
      </c>
      <c r="F53" s="242" t="n"/>
      <c r="G53" s="30" t="n"/>
      <c r="H53" s="30" t="n"/>
    </row>
    <row r="54">
      <c r="B54" s="41" t="n"/>
      <c r="C54" s="42" t="n"/>
      <c r="D54" s="195" t="n"/>
      <c r="E54" s="195" t="n"/>
      <c r="F54" s="35" t="n"/>
      <c r="G54" s="30" t="n"/>
      <c r="H54" s="30" t="n"/>
    </row>
    <row r="55">
      <c r="B55" s="34" t="n"/>
      <c r="C55" s="203" t="n"/>
      <c r="D55" s="203" t="n"/>
      <c r="E55" s="203" t="n"/>
      <c r="F55" s="204" t="n"/>
      <c r="G55" s="30" t="n"/>
      <c r="H55" s="30" t="n"/>
    </row>
    <row r="56" customFormat="1" s="86">
      <c r="B56" s="85" t="n"/>
      <c r="C56" s="85" t="n"/>
      <c r="D56" s="85" t="n"/>
      <c r="E56" s="85" t="n"/>
      <c r="F56" s="85" t="n"/>
      <c r="G56" s="85" t="n"/>
    </row>
    <row r="57" customFormat="1" s="86">
      <c r="B57" s="85" t="n"/>
      <c r="C57" s="85" t="n"/>
      <c r="D57" s="85" t="n"/>
      <c r="E57" s="85" t="n"/>
      <c r="F57" s="85" t="n"/>
      <c r="G57" s="85" t="n"/>
    </row>
    <row r="58" customFormat="1" s="86">
      <c r="B58" s="92" t="inlineStr">
        <is>
          <t>Concurrent users is the count of users who are in the middle of business transactions at any given time. Note that a business transaction can consist of multiple web pages.</t>
        </is>
      </c>
      <c r="C58" s="93" t="n"/>
      <c r="D58" s="94" t="n"/>
    </row>
    <row r="59">
      <c r="B59" s="421" t="inlineStr">
        <is>
          <t>User Types – Requirements</t>
        </is>
      </c>
      <c r="C59" s="422" t="n"/>
      <c r="D59" s="422" t="n"/>
      <c r="E59" s="422" t="n"/>
      <c r="F59" s="422" t="n"/>
      <c r="G59" s="423" t="n"/>
      <c r="I59" s="91">
        <f>Data_Validations!E8</f>
        <v/>
      </c>
    </row>
    <row r="60" ht="51.75" customHeight="1">
      <c r="B60" s="95" t="inlineStr">
        <is>
          <t>User types available in the system (e.g Admins, customers, Supervisors etc)</t>
        </is>
      </c>
      <c r="C60" s="87" t="inlineStr">
        <is>
          <t>Total number of users of each type (whether using the system or not). i.e the expected population</t>
        </is>
      </c>
      <c r="D60" s="1" t="inlineStr">
        <is>
          <t xml:space="preserve">How many users are concurrently doing a transaction during peak usage time? </t>
        </is>
      </c>
      <c r="E60" s="1" t="inlineStr">
        <is>
          <t>Concurrent user % growth - Year 3</t>
        </is>
      </c>
      <c r="F60" s="1" t="inlineStr">
        <is>
          <t>Concurrent user % growth -  Year 5</t>
        </is>
      </c>
      <c r="G60" s="83" t="inlineStr">
        <is>
          <t>Remarks</t>
        </is>
      </c>
    </row>
    <row r="61">
      <c r="B61" s="264" t="inlineStr">
        <is>
          <t>Admin</t>
        </is>
      </c>
      <c r="C61" s="195" t="n">
        <v>2</v>
      </c>
      <c r="D61" s="265" t="n">
        <v>1</v>
      </c>
      <c r="E61" s="195" t="inlineStr">
        <is>
          <t>NA</t>
        </is>
      </c>
      <c r="F61" s="195" t="inlineStr">
        <is>
          <t>NA</t>
        </is>
      </c>
      <c r="G61" s="266" t="n"/>
    </row>
    <row r="62">
      <c r="B62" s="264" t="inlineStr">
        <is>
          <t>Developer (VS Code Extension User)</t>
        </is>
      </c>
      <c r="C62" s="195" t="n">
        <v>100</v>
      </c>
      <c r="D62" s="265" t="n">
        <v>50</v>
      </c>
      <c r="E62" s="195" t="n">
        <v>20</v>
      </c>
      <c r="F62" s="195" t="n">
        <v>30</v>
      </c>
      <c r="G62" s="267" t="n"/>
    </row>
    <row r="63">
      <c r="B63" s="264" t="inlineStr"/>
      <c r="C63" s="195" t="inlineStr"/>
      <c r="D63" s="265" t="inlineStr"/>
      <c r="E63" s="195" t="inlineStr"/>
      <c r="F63" s="195" t="inlineStr"/>
      <c r="G63" s="267" t="n"/>
    </row>
    <row r="64">
      <c r="B64" s="46" t="n"/>
      <c r="C64" s="47" t="n"/>
      <c r="D64" s="47" t="n"/>
      <c r="E64" s="47" t="n"/>
      <c r="F64" s="48" t="n"/>
      <c r="G64" s="45" t="n"/>
    </row>
    <row r="65">
      <c r="B65" s="46" t="n"/>
      <c r="C65" s="47" t="n"/>
      <c r="D65" s="47" t="n"/>
      <c r="E65" s="48" t="n"/>
      <c r="F65" s="48" t="n"/>
      <c r="G65" s="49" t="n"/>
    </row>
    <row r="66">
      <c r="B66" s="46" t="n"/>
      <c r="C66" s="47" t="n"/>
      <c r="D66" s="47" t="n"/>
      <c r="E66" s="47" t="n"/>
      <c r="F66" s="48" t="n"/>
      <c r="G66" s="49" t="n"/>
    </row>
    <row r="67" ht="15.75" customHeight="1" thickBot="1">
      <c r="B67" s="50" t="n"/>
      <c r="C67" s="51" t="n"/>
      <c r="D67" s="51" t="n"/>
      <c r="E67" s="51" t="n"/>
      <c r="F67" s="51" t="n"/>
      <c r="G67" s="52" t="n"/>
    </row>
    <row r="68" customFormat="1" s="86">
      <c r="B68" s="96" t="n"/>
      <c r="C68" s="96" t="n"/>
      <c r="D68" s="96" t="n"/>
      <c r="E68" s="96" t="n"/>
      <c r="F68" s="96" t="n"/>
      <c r="G68" s="96" t="n"/>
    </row>
    <row r="69" customFormat="1" s="86">
      <c r="B69" s="94" t="n"/>
      <c r="C69" s="93" t="n"/>
      <c r="D69" s="94" t="n"/>
    </row>
    <row r="70" customFormat="1" s="86">
      <c r="B70" s="94" t="n"/>
      <c r="C70" s="93" t="n"/>
      <c r="D70" s="94" t="n"/>
    </row>
    <row r="71" ht="15.75" customFormat="1" customHeight="1" s="86">
      <c r="B71" s="97" t="inlineStr">
        <is>
          <t>All the modes of accessing the asset</t>
        </is>
      </c>
      <c r="C71" s="98" t="n"/>
      <c r="D71" s="99" t="n"/>
    </row>
    <row r="72">
      <c r="B72" s="421" t="inlineStr">
        <is>
          <t>Channels - Information</t>
        </is>
      </c>
      <c r="C72" s="422" t="n"/>
      <c r="D72" s="423" t="n"/>
      <c r="I72" s="91">
        <f>Data_Validations!E9</f>
        <v/>
      </c>
    </row>
    <row r="73" ht="51.75" customHeight="1">
      <c r="B73" s="79" t="inlineStr">
        <is>
          <t>Category</t>
        </is>
      </c>
      <c r="C73" s="1" t="inlineStr">
        <is>
          <t>What % of users will access this channel? (note - sum of percentages must remain 100)</t>
        </is>
      </c>
      <c r="D73" s="83" t="inlineStr">
        <is>
          <t>Remarks</t>
        </is>
      </c>
    </row>
    <row r="74">
      <c r="B74" s="80" t="inlineStr">
        <is>
          <t>Web</t>
        </is>
      </c>
      <c r="C74" s="268" t="n">
        <v>30</v>
      </c>
      <c r="D74" s="53" t="n"/>
    </row>
    <row r="75">
      <c r="B75" s="80" t="inlineStr">
        <is>
          <t>Call Centre</t>
        </is>
      </c>
      <c r="C75" s="269" t="inlineStr">
        <is>
          <t>NA</t>
        </is>
      </c>
      <c r="D75" s="54" t="n"/>
    </row>
    <row r="76">
      <c r="B76" s="80" t="inlineStr">
        <is>
          <t>Email</t>
        </is>
      </c>
      <c r="C76" s="269" t="inlineStr">
        <is>
          <t>NA</t>
        </is>
      </c>
      <c r="D76" s="54" t="n"/>
    </row>
    <row r="77">
      <c r="B77" s="80" t="inlineStr">
        <is>
          <t>Social Media</t>
        </is>
      </c>
      <c r="C77" s="269" t="inlineStr">
        <is>
          <t>NA</t>
        </is>
      </c>
      <c r="D77" s="54" t="n"/>
    </row>
    <row r="78">
      <c r="B78" s="80" t="inlineStr">
        <is>
          <t>Mobile</t>
        </is>
      </c>
      <c r="C78" s="270" t="inlineStr">
        <is>
          <t>NA</t>
        </is>
      </c>
      <c r="D78" s="56" t="n"/>
    </row>
    <row r="79">
      <c r="B79" s="80" t="inlineStr">
        <is>
          <t>Desktop</t>
        </is>
      </c>
      <c r="C79" s="270" t="n">
        <v>70</v>
      </c>
      <c r="D79" s="56" t="n"/>
    </row>
    <row r="80">
      <c r="B80" s="198" t="n"/>
      <c r="C80" s="55" t="n"/>
      <c r="D80" s="56" t="n"/>
    </row>
    <row r="81">
      <c r="B81" s="50" t="n"/>
      <c r="C81" s="51" t="n"/>
      <c r="D81" s="52" t="n"/>
    </row>
    <row r="82" customFormat="1" s="86">
      <c r="B82" s="100" t="inlineStr">
        <is>
          <t>Ensure that in the subsequent tables, all the above applicable channels are considered while arriving at Transactions</t>
        </is>
      </c>
      <c r="C82" s="101" t="n"/>
    </row>
    <row r="83" customFormat="1" s="86">
      <c r="C83" s="101" t="n"/>
    </row>
    <row r="84" customFormat="1" s="86">
      <c r="C84" s="101" t="n"/>
    </row>
    <row r="85" ht="15.2" customFormat="1" customHeight="1" s="23">
      <c r="A85" s="102" t="n"/>
      <c r="B85" s="23" t="inlineStr">
        <is>
          <t>A Transaction can be a business service (e.g Shopping/Purchasing on a ecommerce site) or a particular screen action (e.g. Checkout cart, File upload).</t>
        </is>
      </c>
      <c r="C85" s="103" t="n"/>
      <c r="D85" s="104" t="n"/>
      <c r="E85" s="104" t="n"/>
      <c r="F85" s="104" t="n"/>
      <c r="G85" s="104" t="n"/>
      <c r="H85" s="104" t="n"/>
    </row>
    <row r="86" ht="15.2" customFormat="1" customHeight="1" s="23">
      <c r="A86" s="102" t="n"/>
      <c r="B86" s="23" t="inlineStr">
        <is>
          <t>If it is a business service, the transaction will be implemented over multiple web pages (e.g purchasing on a site, requries user to select items, enter shipping information, make payment)</t>
        </is>
      </c>
      <c r="C86" s="103" t="n"/>
      <c r="D86" s="104" t="n"/>
      <c r="E86" s="104" t="n"/>
      <c r="F86" s="104" t="n"/>
      <c r="G86" s="104" t="n"/>
      <c r="H86" s="104" t="n"/>
    </row>
    <row r="87" ht="15.2" customFormat="1" customHeight="1" s="23">
      <c r="A87" s="102" t="n"/>
      <c r="B87" s="105" t="inlineStr">
        <is>
          <t>Note - Multiple transactions can be active at the same time. The sum of concurrent users for all such transactions is captured in the "User Requirements" section at the top of this sheet.</t>
        </is>
      </c>
      <c r="C87" s="103" t="n"/>
      <c r="D87" s="104" t="n"/>
      <c r="E87" s="104" t="n"/>
      <c r="F87" s="104" t="n"/>
      <c r="G87" s="104" t="n"/>
      <c r="H87" s="104" t="n"/>
    </row>
    <row r="88" ht="15.2" customFormat="1" customHeight="1" s="23">
      <c r="A88" s="102" t="n"/>
      <c r="B88" s="23" t="inlineStr">
        <is>
          <t>Depending on the nature of the product, decide on the transactions that are time critical. Following are helpful pointers to identify such transactions:</t>
        </is>
      </c>
      <c r="C88" s="103" t="n"/>
      <c r="D88" s="104" t="n"/>
      <c r="E88" s="104" t="n"/>
      <c r="F88" s="104" t="n"/>
      <c r="G88" s="104" t="n"/>
      <c r="H88" s="104" t="n"/>
    </row>
    <row r="89" ht="15.2" customFormat="1" customHeight="1" s="23">
      <c r="A89" s="102" t="n"/>
      <c r="C89" s="106" t="inlineStr">
        <is>
          <t xml:space="preserve">Transactions that will be used by large number of users at the same time (e.g. view products, browse, Shopping etc). </t>
        </is>
      </c>
      <c r="D89" s="104" t="n"/>
      <c r="E89" s="104" t="n"/>
      <c r="F89" s="104" t="n"/>
      <c r="G89" s="104" t="n"/>
      <c r="H89" s="104" t="n"/>
    </row>
    <row r="90" ht="15.2" customFormat="1" customHeight="1" s="23">
      <c r="A90" s="102" t="n"/>
      <c r="C90" s="106" t="inlineStr">
        <is>
          <t>Transactions with relatively lesser users but if slow may effect user experience (e.g  User Registration)</t>
        </is>
      </c>
      <c r="D90" s="104" t="n"/>
      <c r="E90" s="104" t="n"/>
      <c r="F90" s="104" t="n"/>
      <c r="G90" s="104" t="n"/>
      <c r="H90" s="104" t="n"/>
    </row>
    <row r="91" ht="15.2" customFormat="1" customHeight="1" s="23">
      <c r="A91" s="102" t="n"/>
      <c r="C91" s="106" t="inlineStr">
        <is>
          <t>Typically adminsitrative actions (e.g.  Upload product catalogue) will have far lesser concurrent users and may be left out, unless the business or technical logic for that action is time consuming in which case you want to test and measure it.</t>
        </is>
      </c>
      <c r="D91" s="104" t="n"/>
      <c r="E91" s="104" t="n"/>
      <c r="F91" s="104" t="n"/>
      <c r="G91" s="104" t="n"/>
      <c r="H91" s="104" t="n"/>
    </row>
    <row r="92" ht="15.2" customFormat="1" customHeight="1" s="23">
      <c r="A92" s="102" t="n"/>
      <c r="C92" s="106" t="inlineStr">
        <is>
          <t>For the maximum simultaneous users, keep in mind that peaks can occur at certain times of the day or week or month or year. (e.g  salesClerk login to Point of Sale terminals in a shopping chain will be maximum at the opening of the shops)</t>
        </is>
      </c>
      <c r="D92" s="104" t="n"/>
      <c r="E92" s="104" t="n"/>
      <c r="F92" s="104" t="n"/>
      <c r="G92" s="104" t="n"/>
      <c r="H92" s="104" t="n"/>
    </row>
    <row r="93" ht="15.2" customFormat="1" customHeight="1" s="23">
      <c r="A93" s="102" t="n"/>
      <c r="C93" s="106" t="inlineStr">
        <is>
          <t>Transactions that contribute to 'business critical' parameters whose throughput is known (e.g Need to process 500 orders in an hour. In this case identify the transactions that are required to make the orders).</t>
        </is>
      </c>
      <c r="D93" s="104" t="n"/>
      <c r="E93" s="104" t="n"/>
      <c r="F93" s="104" t="n"/>
      <c r="G93" s="104" t="n"/>
      <c r="H93" s="104" t="n"/>
    </row>
    <row r="94" ht="15.2" customFormat="1" customHeight="1" s="23">
      <c r="A94" s="102" t="n"/>
      <c r="B94" s="23" t="inlineStr">
        <is>
          <t>Ensure all interaction  Channels are covered in the below transaction list</t>
        </is>
      </c>
      <c r="C94" s="106" t="n"/>
      <c r="D94" s="104" t="n"/>
      <c r="E94" s="104" t="n"/>
      <c r="F94" s="104" t="n"/>
      <c r="G94" s="104" t="n"/>
      <c r="H94" s="104" t="n"/>
    </row>
    <row r="95" ht="15" customHeight="1">
      <c r="B95" s="424" t="inlineStr">
        <is>
          <t>Response Times - Online Txns – Requirements</t>
        </is>
      </c>
      <c r="C95" s="425" t="n"/>
      <c r="D95" s="425" t="n"/>
      <c r="E95" s="425" t="n"/>
      <c r="F95" s="425" t="n"/>
      <c r="G95" s="425" t="n"/>
      <c r="H95" s="425" t="n"/>
      <c r="I95" s="425" t="n"/>
      <c r="J95" s="425" t="n"/>
      <c r="K95" s="425" t="n"/>
      <c r="L95" s="426" t="n"/>
      <c r="O95" s="91">
        <f>Data_Validations!E10</f>
        <v/>
      </c>
    </row>
    <row r="96" ht="27" customHeight="1">
      <c r="B96" s="375" t="inlineStr">
        <is>
          <t>Req-Id</t>
        </is>
      </c>
      <c r="C96" s="373" t="inlineStr">
        <is>
          <t>Transaction Description</t>
        </is>
      </c>
      <c r="D96" s="373" t="inlineStr">
        <is>
          <t>No of pages visited per transaction</t>
        </is>
      </c>
      <c r="E96" s="386" t="inlineStr">
        <is>
          <t>No of Interactions per Transaction</t>
        </is>
      </c>
      <c r="F96" s="427" t="inlineStr">
        <is>
          <t xml:space="preserve">90th Percentile Response Time of requests (in seconds) </t>
        </is>
      </c>
      <c r="G96" s="428" t="n"/>
      <c r="H96" s="391" t="inlineStr">
        <is>
          <t xml:space="preserve"> # of concurrent users accessing the function</t>
        </is>
      </c>
      <c r="I96" s="393" t="inlineStr">
        <is>
          <t>Throughput (per hr). E.g 1440 txns/hr</t>
        </is>
      </c>
      <c r="J96" s="393" t="inlineStr">
        <is>
          <t>Throughput %Growth in  Year 3</t>
        </is>
      </c>
      <c r="K96" s="386" t="inlineStr">
        <is>
          <t>Throughput % Growth in size - Year 5</t>
        </is>
      </c>
      <c r="L96" s="365" t="inlineStr">
        <is>
          <t>Remarks</t>
        </is>
      </c>
      <c r="O96" s="91">
        <f>Data_Validations!E11</f>
        <v/>
      </c>
    </row>
    <row r="97">
      <c r="B97" s="429" t="n"/>
      <c r="C97" s="430" t="n"/>
      <c r="D97" s="430" t="n"/>
      <c r="E97" s="431" t="n"/>
      <c r="F97" s="107" t="inlineStr">
        <is>
          <t>SLA</t>
        </is>
      </c>
      <c r="G97" s="108" t="inlineStr">
        <is>
          <t>USLA</t>
        </is>
      </c>
      <c r="H97" s="430" t="n"/>
      <c r="I97" s="432" t="n"/>
      <c r="J97" s="432" t="n"/>
      <c r="K97" s="431" t="n"/>
      <c r="L97" s="433" t="n"/>
      <c r="O97" s="91">
        <f>Data_Validations!E12</f>
        <v/>
      </c>
    </row>
    <row r="98">
      <c r="B98" s="271" t="inlineStr">
        <is>
          <t>Req-001</t>
        </is>
      </c>
      <c r="C98" s="272" t="inlineStr">
        <is>
          <t>User Login</t>
        </is>
      </c>
      <c r="D98" s="273" t="n">
        <v>1</v>
      </c>
      <c r="E98" s="274" t="n">
        <v>1</v>
      </c>
      <c r="F98" s="275" t="n">
        <v>2</v>
      </c>
      <c r="G98" s="275" t="n">
        <v>3</v>
      </c>
      <c r="H98" s="275" t="n">
        <v>20</v>
      </c>
      <c r="I98" s="276" t="n">
        <v>200</v>
      </c>
      <c r="J98" s="275" t="n">
        <v>20</v>
      </c>
      <c r="K98" s="275" t="n">
        <v>20</v>
      </c>
      <c r="L98" s="267" t="inlineStr"/>
      <c r="O98" s="91">
        <f>Data_Validations!E13</f>
        <v/>
      </c>
    </row>
    <row r="99" ht="15" customHeight="1">
      <c r="B99" s="58" t="inlineStr">
        <is>
          <t>Req-002</t>
        </is>
      </c>
      <c r="C99" s="58" t="inlineStr">
        <is>
          <t>Accessibility Analysis (LLM Audit)</t>
        </is>
      </c>
      <c r="D99" s="245" t="n">
        <v>1</v>
      </c>
      <c r="E99" s="246" t="n">
        <v>1</v>
      </c>
      <c r="F99" s="247" t="n">
        <v>60</v>
      </c>
      <c r="G99" s="256" t="n">
        <v>90</v>
      </c>
      <c r="H99" s="256" t="n">
        <v>5</v>
      </c>
      <c r="I99" s="257" t="n">
        <v>10</v>
      </c>
      <c r="J99" s="258" t="n">
        <v>30</v>
      </c>
      <c r="K99" s="257" t="n">
        <v>50</v>
      </c>
      <c r="L99" s="259" t="inlineStr">
        <is>
          <t>LLM-driven accessibility analysis via Azure OpenAI; response exceeds 5s standard due to inference latency. 90th-percentile target: 60s. Hard server timeout: 150s (LLM_REQUEST_TIMEOUT_MS). Concurrent users limited to 5 to respect Azure OpenAI rate limits and manage cost.</t>
        </is>
      </c>
      <c r="O99" s="91">
        <f>Data_Validations!E14</f>
        <v/>
      </c>
    </row>
    <row r="100">
      <c r="B100" s="58" t="inlineStr">
        <is>
          <t>Req-003</t>
        </is>
      </c>
      <c r="C100" s="58" t="inlineStr">
        <is>
          <t>Project Dashboard Sync</t>
        </is>
      </c>
      <c r="D100" s="245" t="n">
        <v>2</v>
      </c>
      <c r="E100" s="246" t="n">
        <v>2</v>
      </c>
      <c r="F100" s="247" t="n">
        <v>3</v>
      </c>
      <c r="G100" s="256" t="n">
        <v>4</v>
      </c>
      <c r="H100" s="256" t="n">
        <v>10</v>
      </c>
      <c r="I100" s="257" t="n">
        <v>50</v>
      </c>
      <c r="J100" s="258" t="n">
        <v>30</v>
      </c>
      <c r="K100" s="257" t="n">
        <v>50</v>
      </c>
      <c r="L100" s="259" t="inlineStr"/>
      <c r="O100" s="91">
        <f>Data_Validations!E15</f>
        <v/>
      </c>
    </row>
    <row r="101">
      <c r="B101" s="58" t="inlineStr"/>
      <c r="C101" s="58" t="inlineStr"/>
      <c r="D101" s="245" t="inlineStr"/>
      <c r="E101" s="246" t="inlineStr"/>
      <c r="F101" s="247" t="inlineStr"/>
      <c r="G101" s="256" t="inlineStr"/>
      <c r="H101" s="256" t="inlineStr"/>
      <c r="I101" s="257" t="inlineStr"/>
      <c r="J101" s="258" t="inlineStr"/>
      <c r="K101" s="257" t="inlineStr"/>
      <c r="L101" s="259" t="inlineStr"/>
      <c r="O101" s="91">
        <f>Data_Validations!E16</f>
        <v/>
      </c>
    </row>
    <row r="102">
      <c r="B102" s="58" t="inlineStr"/>
      <c r="C102" s="58" t="inlineStr"/>
      <c r="D102" s="245" t="inlineStr"/>
      <c r="E102" s="246" t="inlineStr"/>
      <c r="F102" s="247" t="inlineStr"/>
      <c r="G102" s="256" t="inlineStr"/>
      <c r="H102" s="256" t="inlineStr"/>
      <c r="I102" s="257" t="inlineStr"/>
      <c r="J102" s="258" t="inlineStr"/>
      <c r="K102" s="257" t="inlineStr"/>
      <c r="L102" s="259" t="inlineStr"/>
      <c r="O102" s="91">
        <f>Data_Validations!E40</f>
        <v/>
      </c>
    </row>
    <row r="103">
      <c r="B103" s="58" t="inlineStr"/>
      <c r="C103" s="58" t="inlineStr"/>
      <c r="D103" s="245" t="inlineStr"/>
      <c r="E103" s="246" t="inlineStr"/>
      <c r="F103" s="247" t="inlineStr"/>
      <c r="G103" s="256" t="inlineStr"/>
      <c r="H103" s="256" t="inlineStr"/>
      <c r="I103" s="257" t="inlineStr"/>
      <c r="J103" s="258" t="inlineStr"/>
      <c r="K103" s="257" t="inlineStr"/>
      <c r="L103" s="260" t="inlineStr"/>
    </row>
    <row r="104">
      <c r="B104" s="58" t="inlineStr"/>
      <c r="C104" s="245" t="inlineStr"/>
      <c r="D104" s="246" t="inlineStr"/>
      <c r="E104" s="247" t="inlineStr"/>
      <c r="F104" s="256" t="inlineStr"/>
      <c r="G104" s="256" t="inlineStr"/>
      <c r="H104" s="257" t="inlineStr"/>
      <c r="I104" s="258" t="inlineStr"/>
      <c r="J104" s="257" t="inlineStr"/>
      <c r="K104" s="257" t="inlineStr"/>
      <c r="L104" s="260" t="inlineStr"/>
    </row>
    <row r="105">
      <c r="B105" s="58" t="inlineStr"/>
      <c r="C105" s="245" t="inlineStr"/>
      <c r="D105" s="246" t="inlineStr"/>
      <c r="E105" s="247" t="inlineStr"/>
      <c r="F105" s="256" t="inlineStr"/>
      <c r="G105" s="256" t="inlineStr"/>
      <c r="H105" s="257" t="inlineStr"/>
      <c r="I105" s="258" t="inlineStr"/>
      <c r="J105" s="257" t="inlineStr"/>
      <c r="K105" s="257" t="inlineStr"/>
      <c r="L105" s="260" t="inlineStr"/>
    </row>
    <row r="106">
      <c r="B106" s="58" t="n"/>
      <c r="C106" s="245" t="n"/>
      <c r="D106" s="246" t="n"/>
      <c r="E106" s="247" t="n"/>
      <c r="F106" s="256" t="n"/>
      <c r="G106" s="256" t="n"/>
      <c r="H106" s="257" t="n"/>
      <c r="I106" s="258" t="n"/>
      <c r="J106" s="257" t="n"/>
      <c r="K106" s="257" t="n"/>
      <c r="L106" s="260" t="n"/>
    </row>
    <row r="107">
      <c r="B107" s="58" t="n"/>
      <c r="C107" s="245" t="n"/>
      <c r="D107" s="246" t="n"/>
      <c r="E107" s="247" t="n"/>
      <c r="F107" s="256" t="n"/>
      <c r="G107" s="256" t="n"/>
      <c r="H107" s="257" t="n"/>
      <c r="I107" s="258" t="n"/>
      <c r="J107" s="257" t="n"/>
      <c r="K107" s="257" t="n"/>
      <c r="L107" s="260" t="n"/>
    </row>
    <row r="108">
      <c r="B108" s="58" t="n"/>
      <c r="C108" s="245" t="n"/>
      <c r="D108" s="246" t="n"/>
      <c r="E108" s="247" t="n"/>
      <c r="F108" s="256" t="n"/>
      <c r="G108" s="256" t="n"/>
      <c r="H108" s="257" t="n"/>
      <c r="I108" s="258" t="n"/>
      <c r="J108" s="257" t="n"/>
      <c r="K108" s="257" t="n"/>
      <c r="L108" s="260" t="n"/>
    </row>
    <row r="109">
      <c r="B109" s="58" t="n"/>
      <c r="C109" s="245" t="n"/>
      <c r="D109" s="246" t="n"/>
      <c r="E109" s="247" t="n"/>
      <c r="F109" s="256" t="n"/>
      <c r="G109" s="256" t="n"/>
      <c r="H109" s="257" t="n"/>
      <c r="I109" s="258" t="n"/>
      <c r="J109" s="257" t="n"/>
      <c r="K109" s="257" t="n"/>
      <c r="L109" s="260" t="n"/>
    </row>
    <row r="110">
      <c r="B110" s="58" t="n"/>
      <c r="C110" s="245" t="n"/>
      <c r="D110" s="246" t="n"/>
      <c r="E110" s="247" t="n"/>
      <c r="F110" s="256" t="n"/>
      <c r="G110" s="256" t="n"/>
      <c r="H110" s="257" t="n"/>
      <c r="I110" s="258" t="n"/>
      <c r="J110" s="257" t="n"/>
      <c r="K110" s="257" t="n"/>
      <c r="L110" s="260" t="n"/>
    </row>
    <row r="111">
      <c r="B111" s="66" t="n"/>
      <c r="C111" s="67" t="n"/>
      <c r="D111" s="67" t="n"/>
      <c r="E111" s="67" t="n"/>
      <c r="F111" s="261" t="n"/>
      <c r="G111" s="261" t="n"/>
      <c r="H111" s="67" t="n"/>
      <c r="I111" s="262" t="n"/>
      <c r="J111" s="262" t="n"/>
      <c r="K111" s="262" t="n"/>
      <c r="L111" s="263" t="n"/>
    </row>
    <row r="112" customFormat="1" s="86">
      <c r="B112" s="109" t="n"/>
      <c r="C112" s="110" t="n"/>
      <c r="D112" s="111" t="n"/>
    </row>
    <row r="113" ht="16.7" customFormat="1" customHeight="1" s="86">
      <c r="C113" s="101" t="n"/>
    </row>
    <row r="114">
      <c r="B114" s="424" t="inlineStr">
        <is>
          <t>Response Times - Batch Jobs – Requirements</t>
        </is>
      </c>
      <c r="C114" s="425" t="n"/>
      <c r="D114" s="425" t="n"/>
      <c r="E114" s="425" t="n"/>
      <c r="F114" s="425" t="n"/>
      <c r="G114" s="425" t="n"/>
      <c r="H114" s="425" t="n"/>
      <c r="I114" s="425" t="n"/>
      <c r="J114" s="425" t="n"/>
      <c r="K114" s="425" t="n"/>
      <c r="L114" s="426" t="n"/>
      <c r="O114" s="91">
        <f>Data_Validations!E23</f>
        <v/>
      </c>
    </row>
    <row r="115" ht="29.25" customHeight="1">
      <c r="B115" s="375" t="inlineStr">
        <is>
          <t>Req-Id</t>
        </is>
      </c>
      <c r="C115" s="369" t="inlineStr">
        <is>
          <t>Batch job/Transaction Description</t>
        </is>
      </c>
      <c r="D115" s="377" t="inlineStr">
        <is>
          <t>Scheduling pattern (hourly / daily / weekly / fortnightly/ monthly/ on-demand)</t>
        </is>
      </c>
      <c r="E115" s="434" t="inlineStr">
        <is>
          <t>Available time for completion of batch job(in minutes)</t>
        </is>
      </c>
      <c r="F115" s="416" t="n"/>
      <c r="G115" s="373" t="inlineStr">
        <is>
          <t>Expected count of records processed</t>
        </is>
      </c>
      <c r="H115" s="369" t="inlineStr">
        <is>
          <t>Average Size of data processed for the batch job in Mb</t>
        </is>
      </c>
      <c r="I115" s="369" t="inlineStr">
        <is>
          <t>Where is the bulk of batch output Data written to -  DB or File?</t>
        </is>
      </c>
      <c r="J115" s="369" t="inlineStr">
        <is>
          <t>% Growth in size - Year 3</t>
        </is>
      </c>
      <c r="K115" s="369" t="inlineStr">
        <is>
          <t>% Growth in size - Year 5</t>
        </is>
      </c>
      <c r="L115" s="367" t="inlineStr">
        <is>
          <t>Remarks</t>
        </is>
      </c>
      <c r="O115" s="91">
        <f>Data_Validations!E24</f>
        <v/>
      </c>
    </row>
    <row r="116" ht="65.25" customHeight="1">
      <c r="B116" s="429" t="n"/>
      <c r="C116" s="432" t="n"/>
      <c r="D116" s="431" t="n"/>
      <c r="E116" s="112" t="inlineStr">
        <is>
          <t>SLA</t>
        </is>
      </c>
      <c r="F116" s="113" t="inlineStr">
        <is>
          <t>USLA</t>
        </is>
      </c>
      <c r="G116" s="430" t="n"/>
      <c r="H116" s="432" t="n"/>
      <c r="I116" s="432" t="n"/>
      <c r="J116" s="432" t="n"/>
      <c r="K116" s="432" t="n"/>
      <c r="L116" s="433" t="n"/>
      <c r="O116" s="91">
        <f>Data_Validations!E25</f>
        <v/>
      </c>
    </row>
    <row r="117">
      <c r="B117" s="271" t="inlineStr">
        <is>
          <t>NA</t>
        </is>
      </c>
      <c r="C117" s="277" t="inlineStr"/>
      <c r="D117" s="273" t="inlineStr"/>
      <c r="E117" s="274" t="inlineStr"/>
      <c r="F117" s="274" t="inlineStr"/>
      <c r="G117" s="275" t="inlineStr"/>
      <c r="H117" s="275" t="inlineStr"/>
      <c r="I117" s="275" t="inlineStr"/>
      <c r="J117" s="255" t="inlineStr"/>
      <c r="K117" s="255" t="inlineStr"/>
      <c r="L117" s="278" t="inlineStr">
        <is>
          <t>Not applicable. CodeA11y has no scheduled batch jobs; all processing is request-driven via REST API.</t>
        </is>
      </c>
      <c r="O117" s="91">
        <f>Data_Validations!E17</f>
        <v/>
      </c>
    </row>
    <row r="118">
      <c r="B118" s="58" t="inlineStr"/>
      <c r="C118" s="44" t="inlineStr"/>
      <c r="D118" s="59" t="inlineStr"/>
      <c r="E118" s="60" t="inlineStr"/>
      <c r="F118" s="60" t="inlineStr"/>
      <c r="G118" s="61" t="inlineStr"/>
      <c r="H118" s="61" t="inlineStr"/>
      <c r="I118" s="61" t="inlineStr"/>
      <c r="J118" s="61" t="inlineStr"/>
      <c r="K118" s="61" t="inlineStr"/>
      <c r="L118" s="45" t="inlineStr"/>
      <c r="O118" s="91">
        <f>Data_Validations!E41</f>
        <v/>
      </c>
    </row>
    <row r="119">
      <c r="B119" s="243" t="inlineStr"/>
      <c r="C119" s="234" t="inlineStr"/>
      <c r="D119" s="60" t="inlineStr"/>
      <c r="E119" s="235" t="inlineStr"/>
      <c r="F119" s="235" t="inlineStr"/>
      <c r="G119" s="236" t="inlineStr"/>
      <c r="H119" s="236" t="inlineStr"/>
      <c r="I119" s="236" t="inlineStr"/>
      <c r="J119" s="236" t="inlineStr"/>
      <c r="K119" s="236" t="inlineStr"/>
      <c r="L119" s="237" t="inlineStr"/>
      <c r="O119" s="91" t="n"/>
    </row>
    <row r="120" ht="15.75" customHeight="1" thickBot="1">
      <c r="B120" s="62" t="inlineStr"/>
      <c r="C120" s="68" t="inlineStr"/>
      <c r="D120" s="63" t="inlineStr"/>
      <c r="E120" s="64" t="inlineStr"/>
      <c r="F120" s="64" t="inlineStr"/>
      <c r="G120" s="65" t="inlineStr"/>
      <c r="H120" s="65" t="inlineStr"/>
      <c r="I120" s="65" t="inlineStr"/>
      <c r="J120" s="65" t="inlineStr"/>
      <c r="K120" s="65" t="inlineStr"/>
      <c r="L120" s="40" t="inlineStr"/>
    </row>
    <row r="121" customFormat="1" s="86">
      <c r="B121" s="114" t="n"/>
      <c r="C121" s="114" t="n"/>
      <c r="E121" s="114" t="n"/>
      <c r="F121" s="114" t="n"/>
      <c r="G121" s="114" t="n"/>
      <c r="H121" s="114" t="n"/>
      <c r="I121" s="114" t="n"/>
      <c r="J121" s="115" t="n"/>
      <c r="K121" s="115" t="n"/>
    </row>
    <row r="122" ht="15.75" customFormat="1" customHeight="1" s="86" thickBot="1">
      <c r="B122" s="114" t="n"/>
      <c r="C122" s="114" t="n"/>
      <c r="D122" s="114" t="n"/>
      <c r="E122" s="86" t="inlineStr">
        <is>
          <t>Provide the unit of time used – sec/ min/ hr</t>
        </is>
      </c>
      <c r="F122" s="116" t="n"/>
      <c r="G122" s="116" t="n"/>
      <c r="H122" s="114" t="n"/>
    </row>
    <row r="123" ht="15" customHeight="1" thickBot="1">
      <c r="B123" s="424" t="inlineStr">
        <is>
          <t>Response Times - Reports – Requirements</t>
        </is>
      </c>
      <c r="C123" s="425" t="n"/>
      <c r="D123" s="425" t="n"/>
      <c r="E123" s="425" t="n"/>
      <c r="F123" s="425" t="n"/>
      <c r="G123" s="425" t="n"/>
      <c r="H123" s="425" t="n"/>
      <c r="I123" s="425" t="n"/>
      <c r="J123" s="425" t="n"/>
      <c r="K123" s="425" t="n"/>
      <c r="L123" s="425" t="n"/>
      <c r="M123" s="425" t="n"/>
      <c r="N123" s="426" t="n"/>
      <c r="O123" s="91">
        <f>Data_Validations!E31</f>
        <v/>
      </c>
    </row>
    <row r="124" ht="27.75" customHeight="1">
      <c r="B124" s="375" t="inlineStr">
        <is>
          <t>Req-Id</t>
        </is>
      </c>
      <c r="C124" s="369" t="inlineStr">
        <is>
          <t>Report Description</t>
        </is>
      </c>
      <c r="D124" s="377" t="inlineStr">
        <is>
          <t>Report type (adhoc/scheduled)</t>
        </is>
      </c>
      <c r="E124" s="435" t="inlineStr">
        <is>
          <t xml:space="preserve">90th Percentile Response time for Report (in seconds) </t>
        </is>
      </c>
      <c r="F124" s="419" t="n"/>
      <c r="G124" s="373" t="inlineStr">
        <is>
          <t>Average Report generation per hour</t>
        </is>
      </c>
      <c r="H124" s="369" t="inlineStr">
        <is>
          <t>Number of records in the input data set of the report</t>
        </is>
      </c>
      <c r="I124" s="369" t="inlineStr">
        <is>
          <t>Number of records in the output data set of the report</t>
        </is>
      </c>
      <c r="J124" s="377" t="inlineStr">
        <is>
          <t>Average size of Report data generated in Mb</t>
        </is>
      </c>
      <c r="K124" s="369" t="inlineStr">
        <is>
          <t># of Concurrent Report users</t>
        </is>
      </c>
      <c r="L124" s="369" t="inlineStr">
        <is>
          <t>%Growth in record count or size - Year 3</t>
        </is>
      </c>
      <c r="M124" s="369" t="inlineStr">
        <is>
          <t>%Growth in record count or size - Year 5</t>
        </is>
      </c>
      <c r="N124" s="367" t="inlineStr">
        <is>
          <t>Remarks</t>
        </is>
      </c>
      <c r="O124" s="91">
        <f>Data_Validations!E32</f>
        <v/>
      </c>
    </row>
    <row r="125" ht="36.75" customHeight="1">
      <c r="B125" s="429" t="n"/>
      <c r="C125" s="432" t="n"/>
      <c r="D125" s="431" t="n"/>
      <c r="E125" s="117" t="inlineStr">
        <is>
          <t>SLA</t>
        </is>
      </c>
      <c r="F125" s="118" t="inlineStr">
        <is>
          <t>USLA</t>
        </is>
      </c>
      <c r="G125" s="430" t="n"/>
      <c r="H125" s="432" t="n"/>
      <c r="I125" s="432" t="n"/>
      <c r="J125" s="431" t="n"/>
      <c r="K125" s="432" t="n"/>
      <c r="L125" s="432" t="n"/>
      <c r="M125" s="432" t="n"/>
      <c r="N125" s="433" t="n"/>
      <c r="O125" s="91">
        <f>Data_Validations!E33</f>
        <v/>
      </c>
    </row>
    <row r="126">
      <c r="A126" s="69" t="n"/>
      <c r="B126" s="271" t="inlineStr">
        <is>
          <t>Req-021</t>
        </is>
      </c>
      <c r="C126" s="272" t="inlineStr">
        <is>
          <t>VPAT Accessibility Conformance Report</t>
        </is>
      </c>
      <c r="D126" s="272" t="inlineStr">
        <is>
          <t>Adhoc</t>
        </is>
      </c>
      <c r="E126" s="272" t="n">
        <v>10</v>
      </c>
      <c r="F126" s="272" t="n">
        <v>15</v>
      </c>
      <c r="G126" s="272" t="n">
        <v>2</v>
      </c>
      <c r="H126" s="277" t="n">
        <v>100</v>
      </c>
      <c r="I126" s="277" t="n">
        <v>100</v>
      </c>
      <c r="J126" s="272" t="n">
        <v>500</v>
      </c>
      <c r="K126" s="272" t="n">
        <v>2</v>
      </c>
      <c r="L126" s="277" t="n">
        <v>20</v>
      </c>
      <c r="M126" s="277" t="n">
        <v>20</v>
      </c>
      <c r="N126" s="267" t="inlineStr">
        <is>
          <t>WCAG VPAT (.docx) generation; response exceeds 5s standard due to document assembly and accessibility criteria mapping across WCAG 2.1 A/AA success criteria. Max (USLA) is 15s.</t>
        </is>
      </c>
      <c r="O126" s="122">
        <f>Data_Validations!E18</f>
        <v/>
      </c>
    </row>
    <row r="127" ht="24" customHeight="1">
      <c r="A127" s="69" t="n"/>
      <c r="B127" s="271" t="inlineStr">
        <is>
          <t>Req-022</t>
        </is>
      </c>
      <c r="C127" s="279" t="inlineStr">
        <is>
          <t>Project Audit Dashboard Report</t>
        </is>
      </c>
      <c r="D127" s="279" t="inlineStr">
        <is>
          <t>Adhoc</t>
        </is>
      </c>
      <c r="E127" s="272" t="n">
        <v>5</v>
      </c>
      <c r="F127" s="272" t="n">
        <v>8</v>
      </c>
      <c r="G127" s="272" t="n">
        <v>10</v>
      </c>
      <c r="H127" s="277" t="n">
        <v>500</v>
      </c>
      <c r="I127" s="277" t="n">
        <v>500</v>
      </c>
      <c r="J127" s="272" t="n">
        <v>200</v>
      </c>
      <c r="K127" s="272" t="n">
        <v>5</v>
      </c>
      <c r="L127" s="277" t="n">
        <v>30</v>
      </c>
      <c r="M127" s="277" t="n">
        <v>50</v>
      </c>
      <c r="N127" s="267" t="inlineStr"/>
      <c r="O127" s="122">
        <f>Data_Validations!E42</f>
        <v/>
      </c>
    </row>
    <row r="128">
      <c r="B128" s="271" t="inlineStr"/>
      <c r="C128" s="279" t="inlineStr"/>
      <c r="D128" s="279" t="inlineStr"/>
      <c r="E128" s="272" t="inlineStr"/>
      <c r="F128" s="272" t="inlineStr"/>
      <c r="G128" s="272" t="inlineStr"/>
      <c r="H128" s="277" t="inlineStr"/>
      <c r="I128" s="277" t="inlineStr"/>
      <c r="J128" s="272" t="inlineStr"/>
      <c r="K128" s="272" t="inlineStr"/>
      <c r="L128" s="277" t="inlineStr"/>
      <c r="M128" s="277" t="inlineStr"/>
      <c r="N128" s="267" t="inlineStr"/>
      <c r="O128" s="91">
        <f>Data_Validations!E43</f>
        <v/>
      </c>
    </row>
    <row r="129">
      <c r="B129" s="271" t="inlineStr"/>
      <c r="C129" s="279" t="inlineStr"/>
      <c r="D129" s="279" t="inlineStr"/>
      <c r="E129" s="272" t="inlineStr"/>
      <c r="F129" s="272" t="inlineStr"/>
      <c r="G129" s="272" t="inlineStr"/>
      <c r="H129" s="277" t="inlineStr"/>
      <c r="I129" s="277" t="inlineStr"/>
      <c r="J129" s="272" t="inlineStr"/>
      <c r="K129" s="272" t="inlineStr"/>
      <c r="L129" s="277" t="inlineStr"/>
      <c r="M129" s="277" t="inlineStr"/>
      <c r="N129" s="267" t="inlineStr"/>
    </row>
    <row r="130">
      <c r="B130" s="271" t="n"/>
      <c r="C130" s="279" t="n"/>
      <c r="D130" s="279" t="n"/>
      <c r="E130" s="272" t="n"/>
      <c r="F130" s="272" t="n"/>
      <c r="G130" s="272" t="n"/>
      <c r="H130" s="277" t="n"/>
      <c r="I130" s="277" t="n"/>
      <c r="J130" s="272" t="n"/>
      <c r="K130" s="272" t="n"/>
      <c r="L130" s="277" t="n"/>
      <c r="M130" s="277" t="n"/>
      <c r="N130" s="267" t="n"/>
    </row>
    <row r="131">
      <c r="B131" s="280" t="n"/>
      <c r="C131" s="281" t="n"/>
      <c r="D131" s="281" t="n"/>
      <c r="E131" s="281" t="n"/>
      <c r="F131" s="281" t="n"/>
      <c r="G131" s="281" t="n"/>
      <c r="H131" s="282" t="n"/>
      <c r="I131" s="282" t="n"/>
      <c r="J131" s="281" t="n"/>
      <c r="K131" s="281" t="n"/>
      <c r="L131" s="282" t="n"/>
      <c r="M131" s="282" t="n"/>
      <c r="N131" s="283" t="n"/>
    </row>
    <row r="132" ht="15" customFormat="1" customHeight="1" s="86">
      <c r="B132" s="114" t="n"/>
      <c r="C132" s="114" t="n"/>
    </row>
    <row r="133" customFormat="1" s="86">
      <c r="B133" s="114" t="n"/>
      <c r="C133" s="114" t="n"/>
      <c r="E133" s="86" t="inlineStr">
        <is>
          <t>Provide the unit of time used – sec/ min/ hr</t>
        </is>
      </c>
    </row>
    <row r="134" ht="15" customHeight="1">
      <c r="B134" s="424" t="inlineStr">
        <is>
          <t>Response Times - Data – Requirements</t>
        </is>
      </c>
      <c r="C134" s="425" t="n"/>
      <c r="D134" s="425" t="n"/>
      <c r="E134" s="425" t="n"/>
      <c r="F134" s="425" t="n"/>
      <c r="G134" s="425" t="n"/>
      <c r="H134" s="425" t="n"/>
      <c r="I134" s="425" t="n"/>
      <c r="J134" s="425" t="n"/>
      <c r="K134" s="426" t="n"/>
      <c r="O134" s="91">
        <f>Data_Validations!E19</f>
        <v/>
      </c>
    </row>
    <row r="135" ht="90" customHeight="1">
      <c r="B135" s="119" t="inlineStr">
        <is>
          <t>Req-Id</t>
        </is>
      </c>
      <c r="C135" s="118" t="inlineStr">
        <is>
          <t>Transaction Description (either Online, Batch, or Report)</t>
        </is>
      </c>
      <c r="D135" s="118" t="inlineStr">
        <is>
          <t>Tables accessed for the performance critical transactions (Online, Batch, or Report)</t>
        </is>
      </c>
      <c r="E135" s="118" t="inlineStr">
        <is>
          <t>Estimated No. Of Records per table ( in PT Env)</t>
        </is>
      </c>
      <c r="F135" s="118" t="inlineStr">
        <is>
          <t>Table size in MB</t>
        </is>
      </c>
      <c r="G135" s="118" t="inlineStr">
        <is>
          <t>If this table grows with txn, what is the upper limit for the table size (in MB)?</t>
        </is>
      </c>
      <c r="H135" s="118" t="inlineStr">
        <is>
          <t>Archival plans for this table? (i.e after how much data or time should the data be archived?)</t>
        </is>
      </c>
      <c r="I135" s="118" t="inlineStr">
        <is>
          <t>%Growth in record count or size - Year 3</t>
        </is>
      </c>
      <c r="J135" s="118" t="inlineStr">
        <is>
          <t>%Growth in record count or size - Year 5</t>
        </is>
      </c>
      <c r="K135" s="120" t="inlineStr">
        <is>
          <t>Remarks</t>
        </is>
      </c>
      <c r="L135" s="70" t="n"/>
    </row>
    <row r="136" ht="22.5" customHeight="1">
      <c r="B136" s="284" t="inlineStr">
        <is>
          <t>Req-031</t>
        </is>
      </c>
      <c r="C136" s="249" t="inlineStr">
        <is>
          <t>Online - Accessibility Analysis</t>
        </is>
      </c>
      <c r="D136" s="249" t="inlineStr">
        <is>
          <t>llm_calls</t>
        </is>
      </c>
      <c r="E136" s="249" t="n">
        <v>1000</v>
      </c>
      <c r="F136" s="249" t="n">
        <v>20</v>
      </c>
      <c r="G136" s="249" t="n">
        <v>1000</v>
      </c>
      <c r="H136" s="285" t="inlineStr">
        <is>
          <t>2 years</t>
        </is>
      </c>
      <c r="I136" s="249" t="n">
        <v>30</v>
      </c>
      <c r="J136" s="249" t="n">
        <v>50</v>
      </c>
      <c r="K136" s="286" t="inlineStr"/>
      <c r="L136" s="70" t="n"/>
    </row>
    <row r="137">
      <c r="B137" s="287" t="inlineStr">
        <is>
          <t>Req-032</t>
        </is>
      </c>
      <c r="C137" s="249" t="inlineStr">
        <is>
          <t>Online - Accessibility Analysis</t>
        </is>
      </c>
      <c r="D137" s="249" t="inlineStr">
        <is>
          <t>project_issue_records</t>
        </is>
      </c>
      <c r="E137" s="249" t="n">
        <v>5000</v>
      </c>
      <c r="F137" s="249" t="n">
        <v>50</v>
      </c>
      <c r="G137" s="249" t="n">
        <v>2000</v>
      </c>
      <c r="H137" s="288" t="inlineStr">
        <is>
          <t>1 year</t>
        </is>
      </c>
      <c r="I137" s="249" t="n">
        <v>30</v>
      </c>
      <c r="J137" s="249" t="n">
        <v>50</v>
      </c>
      <c r="K137" s="289" t="inlineStr"/>
    </row>
    <row r="138">
      <c r="B138" s="287" t="inlineStr">
        <is>
          <t>Req-033</t>
        </is>
      </c>
      <c r="C138" s="249" t="inlineStr">
        <is>
          <t>Online - User Management</t>
        </is>
      </c>
      <c r="D138" s="249" t="inlineStr">
        <is>
          <t>users</t>
        </is>
      </c>
      <c r="E138" s="249" t="n">
        <v>200</v>
      </c>
      <c r="F138" s="249" t="n">
        <v>1</v>
      </c>
      <c r="G138" s="249" t="n">
        <v>50</v>
      </c>
      <c r="H138" s="288" t="inlineStr">
        <is>
          <t>Retained indefinitely (compliance audit data)</t>
        </is>
      </c>
      <c r="I138" s="249" t="n">
        <v>20</v>
      </c>
      <c r="J138" s="249" t="n">
        <v>20</v>
      </c>
      <c r="K138" s="289" t="inlineStr"/>
    </row>
    <row r="139">
      <c r="B139" s="244" t="inlineStr"/>
      <c r="C139" s="249" t="inlineStr"/>
      <c r="D139" s="249" t="inlineStr"/>
      <c r="E139" s="249" t="inlineStr"/>
      <c r="F139" s="249" t="inlineStr"/>
      <c r="G139" s="249" t="inlineStr"/>
      <c r="H139" s="249" t="inlineStr"/>
      <c r="I139" s="249" t="inlineStr"/>
      <c r="J139" s="249" t="inlineStr"/>
      <c r="K139" s="248" t="inlineStr"/>
    </row>
    <row r="140">
      <c r="B140" s="244" t="inlineStr"/>
      <c r="C140" s="249" t="inlineStr"/>
      <c r="D140" s="249" t="inlineStr"/>
      <c r="E140" s="249" t="inlineStr"/>
      <c r="F140" s="249" t="inlineStr"/>
      <c r="G140" s="249" t="inlineStr"/>
      <c r="H140" s="249" t="inlineStr"/>
      <c r="I140" s="249" t="inlineStr"/>
      <c r="J140" s="249" t="inlineStr"/>
      <c r="K140" s="248" t="inlineStr"/>
    </row>
    <row r="141">
      <c r="B141" s="244" t="n"/>
      <c r="C141" s="249" t="n"/>
      <c r="D141" s="249" t="n"/>
      <c r="E141" s="249" t="n"/>
      <c r="F141" s="249" t="n"/>
      <c r="G141" s="249" t="n"/>
      <c r="H141" s="249" t="n"/>
      <c r="I141" s="249" t="n"/>
      <c r="J141" s="249" t="n"/>
      <c r="K141" s="248" t="n"/>
    </row>
    <row r="142">
      <c r="B142" s="244" t="n"/>
      <c r="C142" s="249" t="n"/>
      <c r="D142" s="249" t="n"/>
      <c r="E142" s="249" t="n"/>
      <c r="F142" s="249" t="n"/>
      <c r="G142" s="249" t="n"/>
      <c r="H142" s="249" t="n"/>
      <c r="I142" s="249" t="n"/>
      <c r="J142" s="249" t="n"/>
      <c r="K142" s="248" t="n"/>
    </row>
    <row r="143">
      <c r="B143" s="250" t="n"/>
      <c r="C143" s="251" t="n"/>
      <c r="D143" s="71" t="n"/>
      <c r="E143" s="71" t="n"/>
      <c r="F143" s="71" t="n"/>
      <c r="G143" s="71" t="n"/>
      <c r="H143" s="71" t="n"/>
      <c r="I143" s="72" t="n"/>
      <c r="J143" s="72" t="n"/>
      <c r="K143" s="252" t="n"/>
    </row>
    <row r="144" customFormat="1" s="86">
      <c r="B144" s="114" t="n"/>
      <c r="C144" s="114" t="n"/>
    </row>
    <row r="145" customFormat="1" s="86">
      <c r="B145" s="114" t="n"/>
      <c r="C145" s="114" t="n"/>
      <c r="I145" s="121" t="n"/>
    </row>
    <row r="146" customFormat="1" s="86">
      <c r="B146" s="114" t="n"/>
      <c r="C146" s="114" t="n"/>
    </row>
    <row r="147" ht="15.75" customFormat="1" customHeight="1" s="86" thickBot="1">
      <c r="C147" s="101" t="n"/>
    </row>
    <row r="148" ht="15.75" customHeight="1" thickBot="1">
      <c r="B148" s="424" t="inlineStr">
        <is>
          <t>Data Management – Requirements</t>
        </is>
      </c>
      <c r="C148" s="425" t="n"/>
      <c r="D148" s="425" t="n"/>
      <c r="E148" s="426" t="n"/>
      <c r="I148" s="90">
        <f>Data_Validations!E20</f>
        <v/>
      </c>
    </row>
    <row r="149">
      <c r="B149" s="119" t="inlineStr">
        <is>
          <t>Category</t>
        </is>
      </c>
      <c r="C149" s="119" t="inlineStr">
        <is>
          <t>Requirement ID</t>
        </is>
      </c>
      <c r="D149" s="119" t="inlineStr">
        <is>
          <t>Requirement</t>
        </is>
      </c>
      <c r="E149" s="123" t="inlineStr">
        <is>
          <t>Remarks</t>
        </is>
      </c>
    </row>
    <row r="150" ht="360" customHeight="1">
      <c r="B150" s="254" t="inlineStr">
        <is>
          <t>Data Back-up Planning (indicate frequency, online/offline backup, scope of data to be backedup)</t>
        </is>
      </c>
      <c r="C150" s="290" t="inlineStr">
        <is>
          <t>Req-041</t>
        </is>
      </c>
      <c r="D150" s="304" t="inlineStr">
        <is>
          <t>PostgreSQL automated backup via Azure Database for PostgreSQL. Full daily backups retained for 7 days with point-in-time recovery to any second within the retention window. For SQLite dev mode: daily file export to encrypted cloud storage.</t>
        </is>
      </c>
      <c r="E150" s="73" t="n"/>
    </row>
    <row r="151" ht="24" customHeight="1">
      <c r="B151" s="124" t="inlineStr">
        <is>
          <t>Frequency</t>
        </is>
      </c>
      <c r="C151" s="291" t="inlineStr">
        <is>
          <t>Req-042</t>
        </is>
      </c>
      <c r="D151" s="305" t="inlineStr">
        <is>
          <t>Daily full backup + continuous WAL archiving (point-in-time recovery)</t>
        </is>
      </c>
      <c r="E151" s="74" t="n"/>
    </row>
    <row r="152" ht="24.75" customHeight="1">
      <c r="B152" s="80" t="inlineStr">
        <is>
          <t>Backup type (offline, online)</t>
        </is>
      </c>
      <c r="C152" s="292" t="inlineStr">
        <is>
          <t>Req-043</t>
        </is>
      </c>
      <c r="D152" s="292" t="inlineStr">
        <is>
          <t>Online (cloud-managed, automated by Azure Database for PostgreSQL)</t>
        </is>
      </c>
      <c r="E152" s="75" t="n"/>
    </row>
    <row r="153" ht="84" customHeight="1">
      <c r="B153" s="80" t="inlineStr">
        <is>
          <t>Scope of data to be backed up</t>
        </is>
      </c>
      <c r="C153" s="292" t="inlineStr">
        <is>
          <t>Req-044</t>
        </is>
      </c>
      <c r="D153" s="306" t="inlineStr">
        <is>
          <t>All tables: users, llm_sessions, llm_calls, user_sessions, audit_logs, password_reset_requests, budget_requests, api_configs, vsix_files, projects, project_snapshots, project_file_stats, project_issue_records</t>
        </is>
      </c>
      <c r="E153" s="75" t="n"/>
    </row>
    <row r="154" ht="24.75" customHeight="1">
      <c r="B154" s="125" t="inlineStr">
        <is>
          <t>Time window allowed for backup</t>
        </is>
      </c>
      <c r="C154" s="293" t="inlineStr">
        <is>
          <t>Req-045</t>
        </is>
      </c>
      <c r="D154" s="293" t="inlineStr">
        <is>
          <t>Managed by Azure Database for PostgreSQL; no manual maintenance window required for cloud mode. SQLite mode: 1-hour backup window during off-peak hours.</t>
        </is>
      </c>
      <c r="E154" s="76" t="n"/>
    </row>
    <row r="155" customFormat="1" s="86">
      <c r="B155" s="126" t="n"/>
      <c r="C155" s="114" t="n"/>
      <c r="D155" s="127" t="n"/>
    </row>
    <row r="156" customFormat="1" s="86">
      <c r="B156" s="126" t="n"/>
      <c r="C156" s="114" t="n"/>
      <c r="D156" s="127" t="n"/>
    </row>
    <row r="157" customFormat="1" s="86">
      <c r="B157" s="128" t="n"/>
      <c r="C157" s="129" t="n"/>
      <c r="D157" s="130" t="n"/>
    </row>
    <row r="158" customFormat="1" s="86">
      <c r="A158" s="131" t="n"/>
      <c r="B158" s="132" t="inlineStr">
        <is>
          <t>Provide this data only if utilization numbers are known from the existing asset deployed in production (or equivalent) - so that the new version should not exceed the existing utilization.</t>
        </is>
      </c>
      <c r="C158" s="101" t="n"/>
    </row>
    <row r="159" ht="15.75" customFormat="1" customHeight="1" s="86" thickBot="1">
      <c r="A159" s="131" t="n"/>
      <c r="B159" s="24" t="inlineStr">
        <is>
          <t>If not provided, Standard utilization figures will be used (average CPU &lt; 60%,  average Memory &lt; 70%)</t>
        </is>
      </c>
      <c r="C159" s="101" t="n"/>
    </row>
    <row r="160" ht="15.75" customHeight="1" thickBot="1">
      <c r="B160" s="424" t="inlineStr">
        <is>
          <t>Resource Utilization – Requirements</t>
        </is>
      </c>
      <c r="C160" s="425" t="n"/>
      <c r="D160" s="425" t="n"/>
      <c r="E160" s="426" t="n"/>
    </row>
    <row r="161" ht="17.85" customHeight="1">
      <c r="B161" s="133" t="inlineStr">
        <is>
          <t>Category</t>
        </is>
      </c>
      <c r="C161" s="133" t="inlineStr">
        <is>
          <t>Requirement ID</t>
        </is>
      </c>
      <c r="D161" s="133" t="inlineStr">
        <is>
          <t>Requirement</t>
        </is>
      </c>
      <c r="E161" s="134" t="inlineStr">
        <is>
          <t>Remarks</t>
        </is>
      </c>
    </row>
    <row r="162" ht="17.85" customHeight="1">
      <c r="B162" s="124" t="inlineStr">
        <is>
          <t>CPU Utilization</t>
        </is>
      </c>
      <c r="C162" s="294" t="inlineStr">
        <is>
          <t>Req-051</t>
        </is>
      </c>
      <c r="D162" s="295" t="n">
        <v>60</v>
      </c>
      <c r="E162" s="296" t="n"/>
      <c r="H162" s="57" t="n"/>
      <c r="I162" s="91">
        <f>Data_Validations!E21</f>
        <v/>
      </c>
    </row>
    <row r="163" ht="17.85" customHeight="1">
      <c r="B163" s="80" t="inlineStr">
        <is>
          <t>Memory Utilization</t>
        </is>
      </c>
      <c r="C163" s="297" t="inlineStr">
        <is>
          <t>Req-052</t>
        </is>
      </c>
      <c r="D163" s="298" t="n">
        <v>70</v>
      </c>
      <c r="E163" s="299" t="n"/>
      <c r="H163" s="57" t="n"/>
      <c r="I163" s="91">
        <f>Data_Validations!E22</f>
        <v/>
      </c>
    </row>
    <row r="164" ht="24.75" customHeight="1">
      <c r="B164" s="125" t="inlineStr">
        <is>
          <t>Input / Output devices Utilization</t>
        </is>
      </c>
      <c r="C164" s="300" t="inlineStr">
        <is>
          <t>Req-053</t>
        </is>
      </c>
      <c r="D164" s="301" t="n"/>
      <c r="E164" s="302" t="inlineStr">
        <is>
          <t>Disk I/O or network I/O</t>
        </is>
      </c>
    </row>
    <row r="165" customFormat="1" s="86">
      <c r="C165" s="101" t="n"/>
    </row>
    <row r="166">
      <c r="A166" s="86" t="n"/>
      <c r="D166" s="213" t="n"/>
    </row>
    <row r="167">
      <c r="A167" s="86" t="n"/>
      <c r="B167" s="77" t="n"/>
      <c r="C167" s="78" t="n"/>
      <c r="D167" s="77" t="n"/>
      <c r="E167" s="77" t="n"/>
      <c r="F167" s="77" t="n"/>
      <c r="G167" s="77" t="n"/>
    </row>
    <row r="168">
      <c r="B168" s="77" t="n"/>
      <c r="C168" s="78" t="n"/>
      <c r="D168" s="77" t="n"/>
      <c r="E168" s="77" t="n"/>
      <c r="F168" s="77" t="n"/>
      <c r="G168" s="77" t="n"/>
    </row>
  </sheetData>
  <sheetProtection selectLockedCells="0" selectUnlockedCells="0" algorithmName="SHA-512" sheet="1" objects="0" insertRows="0" insertHyperlinks="1" autoFilter="1" scenarios="0" formatColumns="1" deleteColumns="1" insertColumns="1" pivotTables="1" deleteRows="1" formatCells="0" saltValue="skvAQIC6bMhLPVLLWcBUaA==" formatRows="1" sort="1" spinCount="100000" hashValue="ufQLMqr0JFIXVL4JhQBPmUpuqvDRNOM+BoX6+MkP0vwe/k3GcPmsOkM+8/eQLwvybyXAeiKu5hoAvAgh7B8JJg=="/>
  <mergeCells count="42">
    <mergeCell ref="B4:F4"/>
    <mergeCell ref="B96:B97"/>
    <mergeCell ref="D96:D97"/>
    <mergeCell ref="B160:E160"/>
    <mergeCell ref="C115:C116"/>
    <mergeCell ref="B21:F21"/>
    <mergeCell ref="C124:C125"/>
    <mergeCell ref="I115:I116"/>
    <mergeCell ref="K115:K116"/>
    <mergeCell ref="B123:N123"/>
    <mergeCell ref="K124:K125"/>
    <mergeCell ref="D115:D116"/>
    <mergeCell ref="K96:K97"/>
    <mergeCell ref="G124:G125"/>
    <mergeCell ref="M124:M125"/>
    <mergeCell ref="B134:K134"/>
    <mergeCell ref="I96:I97"/>
    <mergeCell ref="H124:H125"/>
    <mergeCell ref="H115:H116"/>
    <mergeCell ref="J124:J125"/>
    <mergeCell ref="H96:H97"/>
    <mergeCell ref="B124:B125"/>
    <mergeCell ref="L96:L97"/>
    <mergeCell ref="J115:J116"/>
    <mergeCell ref="C96:C97"/>
    <mergeCell ref="L115:L116"/>
    <mergeCell ref="L124:L125"/>
    <mergeCell ref="F96:G96"/>
    <mergeCell ref="N124:N125"/>
    <mergeCell ref="E96:E97"/>
    <mergeCell ref="E124:F124"/>
    <mergeCell ref="B72:D72"/>
    <mergeCell ref="J96:J97"/>
    <mergeCell ref="G115:G116"/>
    <mergeCell ref="B148:E148"/>
    <mergeCell ref="B59:G59"/>
    <mergeCell ref="B95:L95"/>
    <mergeCell ref="E115:F115"/>
    <mergeCell ref="I124:I125"/>
    <mergeCell ref="B114:L114"/>
    <mergeCell ref="B115:B116"/>
    <mergeCell ref="D124:D125"/>
  </mergeCells>
  <conditionalFormatting sqref="J12:J14">
    <cfRule type="colorScale" priority="195">
      <colorScale>
        <cfvo type="min"/>
        <cfvo type="percentile" val="50"/>
        <cfvo type="max"/>
        <color rgb="FFF8696B"/>
        <color rgb="FFFFEB84"/>
        <color rgb="FF63BE7B"/>
      </colorScale>
    </cfRule>
  </conditionalFormatting>
  <dataValidations xWindow="1072" yWindow="590" count="77">
    <dataValidation sqref="D68" showDropDown="0" showInputMessage="1" showErrorMessage="1" allowBlank="1" type="whole">
      <formula1>1</formula1>
      <formula2>2000</formula2>
    </dataValidation>
    <dataValidation sqref="F117:F120 F126:F131 G98:G111" showDropDown="0" showInputMessage="1" showErrorMessage="1" allowBlank="1" errorTitle="USLA" error="USLA is neither a numeric integer value, nor is it greater than or equal to SLA." promptTitle="USLA" prompt="USLA must be a numeric integer value greater than or equal to SLA." type="whole" operator="greaterThanOrEqual">
      <formula1>E98</formula1>
    </dataValidation>
    <dataValidation sqref="D23:D55 I27" showDropDown="0" showInputMessage="1" showErrorMessage="1" allowBlank="1" errorTitle="Name" error="The value of name of the Software component is not an alpha-numeric value complying to the character length constraints." promptTitle="Name" prompt="Provide the name of the Software component - alpha numeric value of length greater than or equal to 3 is allowed." type="custom">
      <formula1>AND(ISTEXT(D23), LEN(D23)&gt;=3)</formula1>
    </dataValidation>
    <dataValidation sqref="E143 F23:F26 F28:F31 F33 F35 F37 F39 F41 F43:F55 H23 H28" showDropDown="0" showInputMessage="1" showErrorMessage="1" allowBlank="1"/>
    <dataValidation sqref="J27" showDropDown="0" showInputMessage="1" showErrorMessage="1" allowBlank="1" errorTitle="Version" error="The value of version is not an alpha-numeric value" promptTitle="Version" prompt="Provide the version of the Software component - alpha numeric value allowed_x0009_" type="custom">
      <formula1>IF(J27="", TRUE, IF(AND(ISTEXT(J27), LEN(J27)&gt;=1, J27&lt;&gt;"NA"),TRUE,IF(AND(ISNUMBER(J27),J27&lt;&gt;0),TRUE,FALSE)))</formula1>
    </dataValidation>
    <dataValidation sqref="I4" showDropDown="0" showInputMessage="1" showErrorMessage="1" allowBlank="1" promptTitle="Deployment Requirements" prompt="Validates the following_x000a_1. &quot;Server&quot; field is not blank_x000a_2. &quot;Number of Instances&quot; field is not blank_x000a_3. &quot;CPU cores&quot; field is not blank_x000a_4. &quot;RAM in GB&quot; field is not blank"/>
    <dataValidation sqref="I21" showDropDown="0" showInputMessage="1" showErrorMessage="1" allowBlank="1" promptTitle="Software Stack - Information" prompt="Validates the following for a filled row_x000a_1. &quot;Name&quot; field is not blank_x000a_2. &quot;Version&quot; field is not blank"/>
    <dataValidation sqref="I22" showDropDown="0" showInputMessage="1" showErrorMessage="1" allowBlank="1" promptTitle="Software Stack - Information" prompt="Validates the following for a filled row_x000a_1. &quot;Version&quot; field is filled, and it is a non-zero value or contains a dot character"/>
    <dataValidation sqref="I72" showDropDown="0" showInputMessage="1" showErrorMessage="1" allowBlank="1" promptTitle="Channels - Information" prompt="Validates the following for the filled table_x000a_1. Percentage of users (col 'C') accessing via the channels is non-empty, _x000a_2. All percentage values are numeric,_x000a_3. Sum of all percentage values equate to 100"/>
    <dataValidation sqref="O95" showDropDown="0" showInputMessage="1" showErrorMessage="1" allowBlank="1" promptTitle="Response Times - Online Txns – Requirements" prompt="Validates the following _x000a_1. The Transaction Description field is non-empty, _x000a_2. It holds a description of 5 or more characters"/>
    <dataValidation sqref="O96" showDropDown="0" showInputMessage="1" showErrorMessage="1" allowBlank="1" promptTitle="Response Times - Online Txns – Requirements" prompt="Validates the following _x000a_1. The 90th percentile SLA of response time is a numeric value, _x000a_2. It holds non-decimal values"/>
    <dataValidation sqref="O97" showDropDown="0" showInputMessage="1" showErrorMessage="1" allowBlank="1" promptTitle="Response Times - Online Txns – Requirements" prompt="Validates the following _x000a_1. The 90th percentile USLA of response time is a numeric value, _x000a_2. It holds non-decimal values"/>
    <dataValidation sqref="O98" showDropDown="0" showInputMessage="1" showErrorMessage="1" allowBlank="1" promptTitle="Response Times - Online Txns – Requirements" prompt="Validates the following _x000a_1. The 90th percentile USLA is greater than or equal to SLA value and less than or equal to 1.6 times the SLA"/>
    <dataValidation sqref="O99" showDropDown="0" showInputMessage="1" showErrorMessage="1" allowBlank="1" promptTitle="Response Times - Online Txns – Requirements" prompt="Validates the following _x000a_1. The concurrent users field hold a numeric integer value"/>
    <dataValidation sqref="O100" showDropDown="0" showInputMessage="1" showErrorMessage="1" allowBlank="1" promptTitle="Response Times - Online Txns – Requirements" prompt="Validates the following _x000a_1. The sum of concurrent users for online transactions and report transactions must be less than or equal to the sum of concurrent users at peak load anticipated for the system"/>
    <dataValidation sqref="O101" showDropDown="0" showInputMessage="1" showErrorMessage="1" allowBlank="1" promptTitle="Response Times - Online Txns – Requirements" prompt="Validates the following _x000a_1. If the 90th percentilea SLA of response time is above 5 seconds, adequate rationale is provided for why the response is slower than standard"/>
    <dataValidation sqref="O114" showDropDown="0" showInputMessage="1" showErrorMessage="1" allowBlank="1" promptTitle="Response Times - Batch Jobs – Requirements" prompt="Validates the following_x000a_1. The SLA for available time for completion of batch job is a numeric value_x000a_2. It holds non-decimal values"/>
    <dataValidation sqref="O115" showDropDown="0" showInputMessage="1" showErrorMessage="1" allowBlank="1" promptTitle="Response Times - Batch Jobs – Requirements" prompt="Validates the following_x000a_1. The USLA for available time for completion of batch job is a numeric value_x000a_2. It holds non-decimal values"/>
    <dataValidation sqref="O116" showDropDown="0" showInputMessage="1" showErrorMessage="1" allowBlank="1" promptTitle="Response Times - Batch Jobs – Requirements" prompt="Validates the following_x000a_1. The USLA for available time for completion of batch job is greater than or equal to SLA and less than or equal to 1.6 times the SLA"/>
    <dataValidation sqref="O117" showDropDown="0" showInputMessage="1" showErrorMessage="1" allowBlank="1" promptTitle="Response Times - Batch Jobs – Requirements" prompt="Validates the following _x000a_1. The average time for completion of batch job is set at or above 1 minute"/>
    <dataValidation sqref="O126" showDropDown="0" showInputMessage="1" showErrorMessage="1" allowBlank="1" promptTitle="Response Times - Reports – Requirements" prompt="Validates the following _x000a_1. Report Type (col 'D') is set with any of the following values - 'Scheduled'/ 'Adhoc'"/>
    <dataValidation sqref="O123" showDropDown="0" showInputMessage="1" showErrorMessage="1" allowBlank="1" promptTitle="Response Times - Reports – Requirements" prompt="Validates the following _x000a_1. The 90th percentile SLA of response time is a numeric value, _x000a_2. It holds non-decimal values"/>
    <dataValidation sqref="O124" showDropDown="0" showInputMessage="1" showErrorMessage="1" allowBlank="1" promptTitle="Response Times - Reports – Requirements" prompt="Validates the following _x000a_1. The 90th percentile USLA of response time is a numeric value, _x000a_2. It holds non-decimal values"/>
    <dataValidation sqref="O125" showDropDown="0" showInputMessage="1" showErrorMessage="1" allowBlank="1" promptTitle="Response Times - Reports – Requirements" prompt="Validates the following_x000a_1. The 90th percentile USLA is greater than or equal to SLA value and less than or equal to 1.6 times the SLA"/>
    <dataValidation sqref="I148" showDropDown="0" showInputMessage="1" showErrorMessage="1" allowBlank="1" promptTitle="Data Management – Requirements" prompt="Validates the following _x000a_1. Data Management 'Category' (col 'B') is set non-blank_x000a_2. Data Management 'Requirement'  (col 'D') is set non-blank_x000a_3. If DB Server is not present in the deployment, recommends to keep the table empty"/>
    <dataValidation sqref="I162" showDropDown="0" showInputMessage="1" showErrorMessage="1" allowBlank="1" promptTitle="Resource Utilization – Requirements" prompt="Validates the following _x000a_1. Resource Utilization 'Requirement' (col 'D') for CPU Utilization is less than or equal to 60 and not 0"/>
    <dataValidation sqref="I163" showDropDown="0" showInputMessage="1" showErrorMessage="1" allowBlank="1" promptTitle="Resource Utilization – Requirements" prompt="Validates the following _x000a_1. Resource Utilization 'Requirement' (col 'D') for Memory Utilization is less than or equal to 70 and not 0"/>
    <dataValidation sqref="I59" showDropDown="0" showInputMessage="1" showErrorMessage="1" allowBlank="1" promptTitle="User Types – Requirements" prompt="Validates the following for a filled row_x000a_1. User Type (col 'B') is non-empty, _x000a_2. Total users (col 'C') is numeric type,_x000a_3. Concurrent users (col 'D') numeric type,_x000a_4. Numeric value of Total users is greater than or equal to Concurrent users"/>
    <dataValidation sqref="O134" showDropDown="0" showInputMessage="1" showErrorMessage="1" allowBlank="1" promptTitle="Response Times - Data – Requirements" prompt="Validates the following_x000a_1. Estimated records (col 'E') is non-blank and non-zero,_x000a_2. Table size (col 'F') and Table size upper limits (col 'G') are number type,_x000a_3. Table size is less than Table size upper limit_x000a_4. Estimated records is greater than 100"/>
    <dataValidation sqref="I5" showDropDown="0" showInputMessage="1" showErrorMessage="1" allowBlank="1" promptTitle="Deployment Requirements" prompt="Validates the following_x000a_1. The DB Server data are entered properly or not. (Checks if entries for DB Server are there in the 'Deployment Requirements' and  'Software Stack' tables.)"/>
    <dataValidation sqref="C6 C8 C10 C12:C16" showDropDown="0" showInputMessage="1" showErrorMessage="1" allowBlank="1" errorTitle="Number of Instances" error="Number of Instances is neither a non-zero numeric integer value, nor entered as &quot;NA&quot;." promptTitle="Number of Instances" prompt="Number of Instances must be a non-zero numeric integer value. Enter &quot;NA&quot; if that does not apply." type="custom">
      <formula1>OR(C6="NA", IF(AND(ISNUMBER(C6),C6&lt;&gt;0), INT(C6)=C6, FALSE))</formula1>
    </dataValidation>
    <dataValidation sqref="I6" showDropDown="0" showInputMessage="1" showErrorMessage="1" allowBlank="1" promptTitle="Deployment Requirements" prompt="Validates the following_x000a_1. The Web Server data are entered properly or not. (Checks if entries for Web Server are there in the 'Deployment Requirements' and  'Software Stack' tables.)"/>
    <dataValidation sqref="I7" showDropDown="0" showInputMessage="1" showErrorMessage="1" allowBlank="1" promptTitle="Deployment Requirements" prompt="Validates the following_x000a_1. The App Server data are entered properly or not. (Checks if entries for App Server are there in the 'Deployment Requirements' and  'Software Stack' tables.)"/>
    <dataValidation sqref="O118" showDropDown="0" showInputMessage="1" showErrorMessage="1" allowBlank="1" promptTitle="Response Times - Batch Jobs – Requirements" prompt="Checks if any duplicate batch job descriptions are provided."/>
    <dataValidation sqref="O127" showDropDown="0" showInputMessage="1" showErrorMessage="1" allowBlank="1" promptTitle="Response Times - Reports – Requirements" prompt="Checks if any duplicate report descriptions are provided."/>
    <dataValidation sqref="O102" showDropDown="0" showInputMessage="1" showErrorMessage="1" allowBlank="1" promptTitle="Response Times - Online Txns – Requirements" prompt="Checks if any duplicate transactions are provided."/>
    <dataValidation sqref="J117:J120" showDropDown="0" showInputMessage="1" showErrorMessage="1" allowBlank="1" errorTitle="% Growth in size - Year 3" error="% Growth in size - Year 3 is neither a whole number, nor entered as &quot;NA&quot;." promptTitle="% Growth in size - Year 3" prompt="% Growth in size - Year 3 is not a mandatory field. If known, provide its value as a whole number, else  enter &quot;NA&quot;." type="custom">
      <formula1>IF(ISNUMBER(J117), IF(INT(J117)=J117, TRUE, FALSE), IF(J117="NA", TRUE, FALSE))</formula1>
    </dataValidation>
    <dataValidation sqref="K117:K120" showDropDown="0" showInputMessage="1" showErrorMessage="1" allowBlank="1" errorTitle="% Growth in size - Year 5" error="% Growth in size - Year 5 is neither a whole number, nor entered as &quot;NA&quot;." promptTitle="% Growth in size - Year 5" prompt="% Growth in size - Year 5 is not a mandatory field. If known, provide its value as a whole number, else  enter &quot;NA&quot;." type="custom">
      <formula1>IF(ISNUMBER(K117), IF(INT(K117)=K117, TRUE, FALSE), IF(K117="NA", TRUE, FALSE))</formula1>
    </dataValidation>
    <dataValidation sqref="O128" showDropDown="0" showInputMessage="1" showErrorMessage="1" allowBlank="1" promptTitle="Response Times-Reports-Requirements" prompt="Validates the following _x000a_1. The sum of concurrent users for report transactions must be less than or equal to the sum of concurrent users at peak load anticipated for the system"/>
    <dataValidation sqref="H98:H111" showDropDown="0" showInputMessage="1" showErrorMessage="1" allowBlank="1" errorTitle=" # of concurrent users accessing the function" error="Concurrent users is neither a non-zero numeric integer value, nor blank." promptTitle=" # of concurrent users accessing the function" prompt="Concurrent users must be a non-zero numeric integer value, or it can be left blank." type="custom">
      <formula1>OR(H98="", IF(AND(ISNUMBER(H98),H98&lt;&gt;0), INT(H98)=H98, FALSE))</formula1>
    </dataValidation>
    <dataValidation sqref="J98:J111" showDropDown="0" showInputMessage="1" showErrorMessage="1" allowBlank="1" errorTitle="Throughput % growth-Year 3" error="Throughput % growth-Year 3 is neither a whole number, nor entered as &quot;NA&quot;." promptTitle="Throughput % growth-Year 3" prompt="Throughput % growth-Year 3 is not a mandatory field. If known, provide its value as a whole number, else  enter &quot;NA&quot;." type="custom">
      <formula1>OR(J98="NA", IF(ISNUMBER(J98), INT(J98)=J98, FALSE))</formula1>
    </dataValidation>
    <dataValidation sqref="K98:K111" showDropDown="0" showInputMessage="1" showErrorMessage="1" allowBlank="1" errorTitle="Throughput % Growth in size - Year 5" error="Throughput % Growth in size - Year 5 is neither a whole number, nor entered as &quot;NA&quot;." promptTitle="Throughput % Growth in size - Year 5" prompt="Throughput % Growth in size - Year 5 is not a mandatory field. If known, provide its value as a whole number, else  enter &quot;NA&quot;." type="custom">
      <formula1>IF(ISNUMBER(K98), IF(INT(K98)=K98, TRUE, FALSE), IF(K98="NA", TRUE, FALSE))</formula1>
    </dataValidation>
    <dataValidation sqref="I98:I111" showDropDown="0" showInputMessage="1" showErrorMessage="1" allowBlank="1" errorTitle="Throughput (per hr)" error="Throughput (per hr) is neither a whole number, nor entered as &quot;NA&quot;." promptTitle="Throughput (per hr)" prompt="Throughput (per hr) is not a mandatory field. If known, provide its value as a whole number, else  enter &quot;NA&quot;." type="custom">
      <formula1>IF(ISNUMBER(J98), IF(INT(J98)=J98, TRUE, FALSE), IF(J98="NA", TRUE, FALSE))</formula1>
    </dataValidation>
    <dataValidation sqref="F98:F111" showDropDown="0" showInputMessage="1" showErrorMessage="1" allowBlank="1" errorTitle="SLA" error="SLA is not a numeric integer value." promptTitle="SLA" prompt="SLA must be numeric integer value." type="custom">
      <formula1>OR(F98="",INT(F98)=F98)</formula1>
    </dataValidation>
    <dataValidation sqref="B6:B16" showDropDown="0" showInputMessage="1" showErrorMessage="1" allowBlank="1" errorTitle="Server" error="The category of Server is not a text value complying to the character length constraints." promptTitle="Server" prompt="Provide the category of Server - text value of length greater than or equal to 5 is allowed." type="custom">
      <formula1>AND(ISTEXT(B6),LEN(B6)&gt;=5)</formula1>
    </dataValidation>
    <dataValidation sqref="D6:D16" showDropDown="0" showInputMessage="1" showErrorMessage="1" allowBlank="1" errorTitle="CPU cores" error="CPU cores is neither a non-zero numeric integer or decimal value, nor entered as &quot;NA&quot;." promptTitle="CPU cores" prompt="CPU cores must be a non-zero numeric integer or decimal value. Enter &quot;NA&quot; if that does not apply." type="custom">
      <formula1>IF(ISNUMBER(C6), AND(ISNUMBER(D6),D6&lt;&gt;0), IF(C6="NA", D6="NA", FALSE))</formula1>
    </dataValidation>
    <dataValidation sqref="E6:E16" showDropDown="0" showInputMessage="1" showErrorMessage="1" allowBlank="1" errorTitle="RAM" error="RAM is neither a non-zero numeric integer or decimal value, nor entered as &quot;NA&quot;." promptTitle="RAM" prompt="RAM must be a non-zero numeric integer or decimal value. Enter &quot;NA&quot; if that does not apply." type="custom">
      <formula1>IF(ISNUMBER(C6), AND(ISNUMBER(E6),E6&lt;&gt;0), IF(C6="NA", E6="NA", FALSE))</formula1>
    </dataValidation>
    <dataValidation sqref="E136:E143" showDropDown="0" showInputMessage="1" showErrorMessage="1" allowBlank="1" promptTitle="Estimated No.of Records per table" prompt="1. The count expected is of the database table in the performance testing environment (PT Env)._x000a_2. Estimated No. Of Records per table must be a numeric integer value."/>
    <dataValidation sqref="G136:G143" showDropDown="0" showInputMessage="1" showErrorMessage="1" allowBlank="1" errorTitle="Upper limit for the table size" error="Upper limit for the table size is neither a numeric integer nor a decimal value greater than 0." promptTitle="Upper limit for the table size" prompt="Upper limit for the table size must be a numeric integer or decimal value greater than 0." type="decimal" operator="greaterThan">
      <formula1>0</formula1>
    </dataValidation>
    <dataValidation sqref="I136:I143" showDropDown="0" showInputMessage="1" showErrorMessage="1" allowBlank="1" errorTitle="%Growth in record count or size- Year 3" error="%Growth in record count or size- Year 3 is neither a whole number, nor entered as &quot;NA&quot;." promptTitle="%Growth in record count or size- Year 3" prompt="%Growth in record count or size- Year 3 is not a mandatory field. If known, provide its value as a whole number, else  enter &quot;NA&quot;." type="custom">
      <formula1>IF(ISNUMBER(I136), IF(INT(I136)=I136, TRUE, FALSE), IF(I136="NA", TRUE, FALSE))</formula1>
    </dataValidation>
    <dataValidation sqref="J136:J143" showDropDown="0" showInputMessage="1" showErrorMessage="1" allowBlank="1" errorTitle="%Growth in record count or size- Year 5" error="%Growth in record count or size- Year 5 is neither a whole number, nor entered as &quot;NA&quot;." promptTitle="%Growth in record count or size- Year 5" prompt="%Growth in record count or size- Year 5 is not a mandatory field. If known, provide its value as a whole number, else  enter &quot;NA&quot;." type="custom">
      <formula1>IF(ISNUMBER(J136), IF(INT(J136)=J136, TRUE, FALSE), IF(J136="NA", TRUE, FALSE))</formula1>
    </dataValidation>
    <dataValidation sqref="C136:C143" showDropDown="0" showInputMessage="1" showErrorMessage="1" allowBlank="1" errorTitle="Transaction Description" error="Transaction description is not selected" promptTitle="Transaction Description" prompt="Select an appropriate transaction description (either online, batch or report)" type="list">
      <formula1>"Online,Batch,Report"</formula1>
    </dataValidation>
    <dataValidation sqref="D136:D143" showDropDown="0" showInputMessage="1" showErrorMessage="1" allowBlank="0" errorTitle="Table accessed" error="The name of table accessed is not a text value complying to the character length constraints." promptTitle="Table accessed" prompt="Provide the name of table accessed - text value of length greater than or equal to 5 is allowed. If the field is left blank, the corresponding row will not be considered part of the requirement." type="custom">
      <formula1>AND(ISTEXT(D136),LEN(D136)&gt;=5)</formula1>
    </dataValidation>
    <dataValidation sqref="F136:F143" showDropDown="0" showInputMessage="1" showErrorMessage="1" allowBlank="1" errorTitle="Table size in MB" error="Table size in MB is neither a numeric integer nor a decimal value greater than 0." promptTitle="Table size in MB" prompt="Table size in MB must be a numeric integer or decimal value greater than 0." type="decimal" operator="greaterThan">
      <formula1>0</formula1>
    </dataValidation>
    <dataValidation sqref="C61:C67" showDropDown="0" showInputMessage="1" showErrorMessage="1" allowBlank="1" errorTitle="Total number of users" error="Total number of users of each type is not a numeric integer value greater than or equal to 1." promptTitle="Total number of users" prompt="Total number of users of each type must be numeric integer value greater than or equal to 1." type="whole" operator="greaterThanOrEqual">
      <formula1>1</formula1>
    </dataValidation>
    <dataValidation sqref="D61:D67" showDropDown="0" showInputMessage="1" showErrorMessage="1" allowBlank="1" errorTitle="Users concurrently doing a txn" error="Users concurrently doing a transaction during peak usage time is not equal to or less than the total number of users in each type." promptTitle="Users concurrenctly doing a txn" prompt="Users concurrently doing a transaction during peak usage time must be equal to or less than total number of users in each type." type="whole" operator="lessThanOrEqual">
      <formula1>C61</formula1>
    </dataValidation>
    <dataValidation sqref="E61:E67" showDropDown="0" showInputMessage="1" showErrorMessage="1" allowBlank="1" errorTitle="Concurrent user % growth-Year 3" error="Concurrent user % growth-Year 3' is neither a whole number, nor entered as &quot;NA&quot;." promptTitle="Concurrent user % growth-Year 3" prompt="Concurrent user % growth-Year 3' is not a mandatory field. If known, provide its value as a whole number, else  enter &quot;NA&quot;." type="custom">
      <formula1>OR(E61="NA", IF(ISNUMBER(E61), INT(E61)=E61, FALSE))</formula1>
    </dataValidation>
    <dataValidation sqref="F61:F67" showDropDown="0" showInputMessage="1" showErrorMessage="1" allowBlank="1" errorTitle="Concurrent user % growth- Year 5" error="Concurrent user % growth-Year 5' is neither a whole number, nor entered as &quot;NA&quot;." promptTitle=" Concurrent user % growth-Year 5" prompt="Concurrent user % growth-Year 5' is not a mandatory field. If known, provide its value as a whole number, else enter &quot;NA&quot;." type="custom">
      <formula1>OR(F61="NA", IF(ISNUMBER(F61), INT(F61)=F61, FALSE))</formula1>
    </dataValidation>
    <dataValidation sqref="C74:C81" showDropDown="0" showInputMessage="1" showErrorMessage="1" allowBlank="1" errorTitle="% of users access this channel" error="% of users access this channel is neither a numeric integer or decimal value, nor entered as &quot;NA&quot;." promptTitle="% of users access this channel" prompt="% of users accessing this channel must be numeric integer value. If not applicable, enter &quot;NA&quot;." type="custom">
      <formula1>OR(C74="NA", IF(ISNUMBER(C74), INT(C74)=C74, FALSE))</formula1>
    </dataValidation>
    <dataValidation sqref="E23:E55" showDropDown="0" showInputMessage="1" showErrorMessage="1" allowBlank="1" errorTitle="Version" error="The value of version is not an alpha-numeric value" promptTitle="Version" prompt="Provide the version of the Software component - alpha numeric value allowed" type="custom">
      <formula1>IF(E23="", TRUE, IF(AND(ISTEXT(E23), LEN(E23)&gt;=1, E23&lt;&gt;"NA"),TRUE,IF(AND(ISNUMBER(E23),E23&lt;&gt;0),TRUE,FALSE)))</formula1>
    </dataValidation>
    <dataValidation sqref="C98:C111" showDropDown="0" showInputMessage="1" showErrorMessage="1" allowBlank="0" errorTitle="Transaction Description" error="The transaction description is not a text value complying to the character length constraints." promptTitle="Transaction Description" prompt="Provide the transaction description - text value of length greater than or equal to 5 is allowed. If the field is left blank, the corresponding row will not be considered part of the requirement." type="custom">
      <formula1>AND(ISTEXT(C98),LEN(C98)&gt;=5)</formula1>
    </dataValidation>
    <dataValidation sqref="D98:D111" showDropDown="0" showInputMessage="1" showErrorMessage="1" allowBlank="1" errorTitle="No of pages visited per transaction" error="Pages visited per transaction is neither a numeric integer value, nor entered as &quot;NA&quot;." promptTitle="No of pages visited per transaction" prompt="Pages visited per transaction must be either a numeric integer value or &quot;NA&quot;." type="custom">
      <formula1>OR(D98="NA", IF(ISNUMBER(D98), INT(D98)=D98, FALSE))</formula1>
    </dataValidation>
    <dataValidation sqref="E98:E111" showDropDown="0" showInputMessage="1" showErrorMessage="1" allowBlank="1" errorTitle="No of Interactions per Transaction" error="Interactions per transaction is neither a numeric integer value, nor entered as &quot;NA&quot;." promptTitle="No of Interactions per Transaction" prompt="Interactions per transaction must be either a numeric integer value, or it can be &quot;NA&quot;" type="custom">
      <formula1>OR(E98="NA", IF(ISNUMBER(E98), INT(E98)=E98, FALSE))</formula1>
    </dataValidation>
    <dataValidation sqref="C117:C120" showDropDown="0" showInputMessage="1" showErrorMessage="1" allowBlank="0" errorTitle="Batch job Description" error="The batch job description is not a text value complying to the character length constraints." promptTitle="Batch job Description" prompt="Provide batch job description - text value of length greater than or equal to 5 is allowed. If the field is left blank, the corresponding row will not be considered part of the requirement." type="custom">
      <formula1>AND(ISTEXT(C117),LEN(C117)&gt;=5)</formula1>
    </dataValidation>
    <dataValidation sqref="D117:D120" showDropDown="0" showInputMessage="1" showErrorMessage="1" allowBlank="1" errorTitle="Scheduling pattern (hourly / daily / weekly / fortnightly/ monthly/ on-demand)" error="Scheduling pattern is not selected" promptTitle="Scheduling pattern (hourly / daily / weekly / fortnightly/ monthly/ on-demand)" prompt="Select an appropriate scheduling pattern (hourly / daily / weekly / fortnightly/ monthly/ on-demand)" type="list">
      <formula1>"Hourly,Daily,Weekly,Fortnightly,Monthly,On-demand"</formula1>
    </dataValidation>
    <dataValidation sqref="E117:E120 E126:E131" showDropDown="0" showInputMessage="1" showErrorMessage="1" allowBlank="1" errorTitle="SLA" error="SLA is not a numeric integer value." promptTitle="SLA" prompt="SLA must be numeric integer value." type="custom">
      <formula1>OR(E117="", INT(E117)=E117)</formula1>
    </dataValidation>
    <dataValidation sqref="G117:G120" showDropDown="0" showInputMessage="1" showErrorMessage="1" allowBlank="1" errorTitle="Expected count of records processed" error="Expected count of records processed is not a numeric integer value." promptTitle="Expected count of records processed" prompt="Expected count of records processed must be a numeric integer value." type="custom">
      <formula1>IF(ISNUMBER(G117), INT(G120)=G117, FALSE)</formula1>
    </dataValidation>
    <dataValidation sqref="H117:H120" showDropDown="0" showInputMessage="1" showErrorMessage="1" allowBlank="1" errorTitle="Average size of data processed for the batch job in Mb" error="Average size of data processed for the batch job in Mb is neither a numeric integer or decimal value greater than 0, nor entered as &quot;NA&quot;." promptTitle="Average size of data processed for the batch job in Mb" prompt="Average size of data processed for the batch job in Mb must be a numeric integer or decimal value greater than 0." type="decimal" operator="greaterThan">
      <formula1>0</formula1>
    </dataValidation>
    <dataValidation sqref="I117:I120" showDropDown="0" showInputMessage="1" showErrorMessage="1" allowBlank="1" errorTitle="Where is the bulk of batch output Data written to -  DB or File?" error="Batch output destination is not selected" promptTitle="Where is the bulk of batch output Data written to -  DB or File?" prompt="Select an appropriate batch output destination (File/ DB)" type="list">
      <formula1>"File,DB"</formula1>
    </dataValidation>
    <dataValidation sqref="C126:C131" showDropDown="0" showInputMessage="1" showErrorMessage="1" allowBlank="1" errorTitle="Report Description" error="The report description is not a text value complying to the character length constraints." promptTitle="Report Description" prompt="Provide the report description - text value of length greater than or equal to 5 is allowed. If the field is left blank, the corresponding row will not be considered part of the requirement." type="custom">
      <formula1>AND(ISTEXT(C126),LEN(C126)&gt;=5)</formula1>
    </dataValidation>
    <dataValidation sqref="G126:G131" showDropDown="0" showInputMessage="1" showErrorMessage="1" allowBlank="1" errorTitle="Average Report generation per hour" error="Average Report generation per hour is neither a whole number, nor entered as &quot;NA&quot;." promptTitle="Average Report generation per hour" prompt="For Average Report generation per hour provide its value as a whole number, else  enter &quot;NA&quot;." type="custom">
      <formula1>IF(ISNUMBER(G126), IF(INT(G126)=G126, TRUE, FALSE), IF(G126="NA", TRUE, FALSE))</formula1>
    </dataValidation>
    <dataValidation sqref="J126:J131" showDropDown="0" showInputMessage="1" showErrorMessage="1" allowBlank="1" errorTitle="Average size of Report data generated in Mb" error="Average size of Report data generated in Mb is neither a numeric integer or decimal value greater than 0, nor entered as &quot;NA&quot;." promptTitle="Average size of Report data generated in Mb" prompt="Average size of Report data generated in Mb must be a numeric integer or decimal value greater than 0." type="decimal" operator="greaterThan">
      <formula1>0</formula1>
    </dataValidation>
    <dataValidation sqref="K126:K131" showDropDown="0" showInputMessage="1" showErrorMessage="1" allowBlank="1" errorTitle="# of Concurrent Report users" error="# of Concurrent Report users is neither a numeric integer value nor blank." promptTitle="# of Concurrent Report users" prompt="# of Concurrent Report users must be a numeric integer value, or it can be left blank." type="custom">
      <formula1>OR(K126="", IF(AND(ISNUMBER(K126),K126&lt;&gt;0), INT(K126)=K126, FALSE))</formula1>
    </dataValidation>
    <dataValidation sqref="L126:L131" showDropDown="0" showInputMessage="1" showErrorMessage="1" allowBlank="1" errorTitle="%Growth in record count or size - Year 3" error="%Growth in record count or size - Year 3 is neither a whole number, nor entered as &quot;NA&quot;." promptTitle="%Growth in record count or size - Year 3" prompt="%Growth in record count or size - Year 3 is not a mandatory field. If known, provide its value as a whole number, else  enter &quot;NA&quot;." type="custom">
      <formula1>IF(ISNUMBER(L126), IF(INT(L126)=L126, TRUE, FALSE), IF(L126="NA", TRUE, FALSE))</formula1>
    </dataValidation>
    <dataValidation sqref="M126:M131" showDropDown="0" showInputMessage="1" showErrorMessage="1" allowBlank="1" errorTitle="%Growth in record count or size - Year 5" error="%Growth in record count or size - Year 5 is neither a whole number, nor entered as &quot;NA&quot;." promptTitle="%Growth in record count or size - Year 5" prompt="%Growth in record count or size - Year 5 is not a mandatory field. If known, provide its value as a whole number, else  enter &quot;NA&quot;." type="custom">
      <formula1>IF(ISNUMBER(M126), IF(INT(M126)=M126, TRUE, FALSE), IF(M126="NA", TRUE, FALSE))</formula1>
    </dataValidation>
    <dataValidation sqref="D150:D154" showDropDown="0" showInputMessage="1" showErrorMessage="1" allowBlank="1" errorTitle="Requirement" promptTitle="Requirement" prompt="Provide the requirements if applicable, else enter &quot;NA&quot;."/>
    <dataValidation sqref="D162:D164" showDropDown="0" showInputMessage="1" showErrorMessage="1" allowBlank="1" errorTitle="Requirement" error="Requirement is not a whole number value" promptTitle="Requirement" prompt="Requirement must be a whole number" type="custom">
      <formula1>IF(D162&lt;&gt;"",IF(D162&lt;&gt;"NA",IF(ISNUMBER(D162), TRUE, FALSE)))</formula1>
    </dataValidation>
  </dataValidations>
  <pageMargins left="0.7" right="0.7" top="0.75" bottom="0.75" header="0.511805555555556" footer="0.511805555555556"/>
  <pageSetup orientation="portrait" paperSize="9" scale="55" fitToHeight="5" firstPageNumber="0" verticalDpi="30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2:DI120"/>
  <sheetViews>
    <sheetView zoomScaleNormal="100" workbookViewId="0">
      <selection activeCell="B2" sqref="B2"/>
    </sheetView>
  </sheetViews>
  <sheetFormatPr baseColWidth="8" defaultRowHeight="12.75"/>
  <cols>
    <col width="68.7109375" customWidth="1" style="136" min="1" max="1"/>
    <col width="30.140625" customWidth="1" style="136" min="2" max="2"/>
    <col width="64.5703125" customWidth="1" style="136" min="3" max="3"/>
    <col width="82.5703125" customWidth="1" style="136" min="4" max="4"/>
    <col width="96.7109375" customWidth="1" style="136" min="5" max="5"/>
    <col width="15.28515625" bestFit="1" customWidth="1" style="136" min="6" max="6"/>
    <col width="45.5703125" customWidth="1" style="136" min="7" max="7"/>
    <col width="9.140625" customWidth="1" style="136" min="8" max="8"/>
    <col width="43.85546875" customWidth="1" style="136" min="9" max="9"/>
    <col width="36.28515625" bestFit="1" customWidth="1" style="136" min="10" max="11"/>
    <col width="14.7109375" bestFit="1" customWidth="1" style="136" min="12" max="12"/>
    <col width="53.7109375" customWidth="1" style="136" min="13" max="13"/>
    <col width="43" customWidth="1" style="136" min="14" max="14"/>
    <col width="20.7109375" customWidth="1" style="136" min="15" max="15"/>
    <col width="9.140625" customWidth="1" style="136" min="16" max="16"/>
    <col width="14" customWidth="1" style="136" min="17" max="17"/>
    <col width="9.140625" customWidth="1" style="136" min="18" max="19"/>
    <col width="11.7109375" customWidth="1" style="136" min="20" max="20"/>
    <col width="9.140625" customWidth="1" style="136" min="21" max="21"/>
    <col width="12.140625" customWidth="1" style="136" min="22" max="22"/>
    <col width="11" customWidth="1" style="136" min="23" max="23"/>
    <col width="11.28515625" customWidth="1" style="136" min="24" max="24"/>
    <col width="30" customWidth="1" style="136" min="25" max="25"/>
    <col width="9.140625" customWidth="1" style="136" min="26" max="33"/>
    <col width="19.28515625" customWidth="1" style="136" min="34" max="34"/>
    <col width="9.140625" customWidth="1" style="136" min="35" max="78"/>
    <col width="15.42578125" customWidth="1" style="136" min="79" max="79"/>
    <col width="9.140625" customWidth="1" style="136" min="80" max="93"/>
    <col width="10.5703125" customWidth="1" style="136" min="94" max="94"/>
    <col width="9.140625" customWidth="1" style="136" min="95" max="99"/>
    <col width="16.85546875" customWidth="1" style="136" min="100" max="100"/>
    <col width="9.140625" customWidth="1" style="136" min="101" max="108"/>
    <col width="20.85546875" customWidth="1" style="136" min="109" max="109"/>
    <col width="16.42578125" customWidth="1" style="136" min="110" max="110"/>
    <col width="9.140625" customWidth="1" style="136" min="111" max="115"/>
    <col width="8.5703125" customWidth="1" style="136" min="116" max="116"/>
    <col width="9.140625" customWidth="1" style="136" min="117" max="16384"/>
  </cols>
  <sheetData>
    <row r="2" ht="47.25" customHeight="1">
      <c r="B2" s="137" t="inlineStr">
        <is>
          <t>Sl. No.</t>
        </is>
      </c>
      <c r="C2" s="137" t="inlineStr">
        <is>
          <t>Table</t>
        </is>
      </c>
      <c r="D2" s="137" t="inlineStr">
        <is>
          <t>Validation Rule</t>
        </is>
      </c>
      <c r="E2" s="137" t="inlineStr">
        <is>
          <t>Validation Message</t>
        </is>
      </c>
      <c r="F2" s="137" t="inlineStr">
        <is>
          <t>Validation Status</t>
        </is>
      </c>
      <c r="H2" s="137" t="inlineStr">
        <is>
          <t>Sl. No.</t>
        </is>
      </c>
      <c r="I2" s="137" t="inlineStr">
        <is>
          <t>Validation Rule</t>
        </is>
      </c>
      <c r="J2" s="137" t="inlineStr">
        <is>
          <t>Validation Message</t>
        </is>
      </c>
      <c r="K2" s="137" t="inlineStr">
        <is>
          <t>Validation Staus</t>
        </is>
      </c>
      <c r="L2" s="138" t="n"/>
      <c r="M2" s="138" t="inlineStr">
        <is>
          <t>Has Web Server?</t>
        </is>
      </c>
      <c r="N2" s="138" t="inlineStr">
        <is>
          <t>Has Application Server?</t>
        </is>
      </c>
      <c r="O2" s="138" t="inlineStr">
        <is>
          <t>Has DB Server?</t>
        </is>
      </c>
      <c r="P2" s="135" t="inlineStr">
        <is>
          <t>Programming Language?</t>
        </is>
      </c>
      <c r="T2" s="138" t="inlineStr">
        <is>
          <t>Deployment Category</t>
        </is>
      </c>
      <c r="U2" s="138" t="inlineStr">
        <is>
          <t>LB &amp; Clustering Strategy</t>
        </is>
      </c>
      <c r="V2" s="138" t="inlineStr">
        <is>
          <t>Auto-scaling Strategy</t>
        </is>
      </c>
      <c r="W2" s="138" t="inlineStr">
        <is>
          <t>Technology Stack</t>
        </is>
      </c>
      <c r="X2" s="138" t="inlineStr">
        <is>
          <t>Application Type</t>
        </is>
      </c>
      <c r="Y2" s="138" t="inlineStr">
        <is>
          <t>Concurrent User Distribution If it is a Desktop Application</t>
        </is>
      </c>
    </row>
    <row r="3" ht="26.25" customHeight="1">
      <c r="B3" s="136" t="n">
        <v>1</v>
      </c>
      <c r="C3" s="139" t="inlineStr">
        <is>
          <t>Asset Information</t>
        </is>
      </c>
      <c r="D3" s="135">
        <f>Data_Constants!C101</f>
        <v/>
      </c>
      <c r="E3" s="135">
        <f>IF(LEN(B51)&gt;=Data_Constants!N5, Data_Constants!C75, Data_Constants!D75)</f>
        <v/>
      </c>
      <c r="F3" s="135">
        <f>IF(E3=Data_Constants!D75, FALSE, TRUE)</f>
        <v/>
      </c>
      <c r="H3" s="136" t="n">
        <v>1</v>
      </c>
      <c r="I3" s="135" t="inlineStr">
        <is>
          <t>Checks if the Application Software Stack has Web, App, and DB Servers</t>
        </is>
      </c>
      <c r="J3" s="135">
        <f t="array" ref="J3">_xlfn.LET(_xlpm.hasWebserver, M3, _xlpm.hasAppserver, N3,_xlpm.hasDbserver, O3, IF(AND(_xlpm.hasAppserver, _xlpm.hasDbserver), INDEX(Table_Messages[Valid case Message],21),INDEX(Table_Messages[Invalid case Message],21)))</f>
        <v/>
      </c>
      <c r="K3" s="136">
        <f>IF(J3=Data_Constants!D49, FALSE, TRUE)</f>
        <v/>
      </c>
      <c r="L3" s="135" t="n"/>
      <c r="M3" s="135">
        <f t="array" ref="M3">_xlfn.LET(
_xlpm.fullrnge1, INDIRECT(CONCATENATE("Performance!B",Data_Constants!N25,":F", Data_Constants!N25)),
_xlpm.softwarestackColumnrnge, INDIRECT(CONCATENATE("Performance!D",Data_Constants!N25,":D", Data_Constants!N25)), _xlpm.WebServerRange, INDIRECT(CONCATENATE("Data_Constants!AI3",":AI33")), _xlpm.WebServerCheckOutcomeList, COUNTIF(_xlpm.softwarestackColumnrnge,"*"&amp;_xlpm.WebServerRange&amp;"*"), _xlpm.hasWebServer, IF(MAX(_xlpm.WebServerCheckOutcomeList)=0,FALSE, TRUE), _xlpm.hasWebServer)</f>
        <v/>
      </c>
      <c r="N3" s="135">
        <f t="array" ref="N3">_xlfn.LET(
_xlpm.fullrnge1, INDIRECT(CONCATENATE("Performance!B",Data_Constants!N27+1,":F", Data_Constants!N27+1)),
_xlpm.softwarestackColumnrnge, INDIRECT(CONCATENATE("Performance!D",Data_Constants!N27+1,":D", Data_Constants!N27+1)), _xlpm.AppServerRange, INDIRECT(CONCATENATE("Data_Constants!AF3",":AF36")),
_xlpm.AppServerCheckOutcomeList, COUNTIF(_xlpm.softwarestackColumnrnge,"*"&amp;_xlpm.AppServerRange&amp;"*"), _xlpm.hasAppServer,
IF(MAX(_xlpm.AppServerCheckOutcomeList)=0,FALSE, TRUE), _xlpm.hasAppServer)</f>
        <v/>
      </c>
      <c r="O3" s="135">
        <f t="array" ref="O3">_xlfn.LET(_xlpm.fullrnge1, INDIRECT(CONCATENATE("Performance!B",Data_Constants!N20,":F", Data_Constants!N20)),_xlpm.softwarestackColumnrnge, INDIRECT(CONCATENATE("Performance!D",Data_Constants!N20,":D", Data_Constants!N20)), _xlpm.DBServerRange, INDIRECT(CONCATENATE("Data_Constants!AC3",":AC32")),
_xlpm.DBServerCheckOutcomeList, COUNTIF(_xlpm.softwarestackColumnrnge,"*"&amp;_xlpm.DBServerRange&amp;"*"), _xlpm.hasDbServer,
IF(MAX(_xlpm.DBServerCheckOutcomeList)=0,FALSE, TRUE), _xlpm.hasDbServer)</f>
        <v/>
      </c>
      <c r="T3" s="136">
        <f t="array" ref="T3">_xlfn.LET(_xlpm.minindex, MATCH(Data_Constants!C7, $V$2:$V$300,0)+3,_xlpm.fullcolumnrnge, INDIRECT(CONCATENATE("V",_xlpm.minindex,":V300")), _xlpm.maxindex, MIN(IF(_xlpm.fullcolumnrnge="",ROW(_xlpm.fullcolumnrnge)))-1, _xlpm.usertypesColumnrnge, INDIRECT(CONCATENATE("V",_xlpm.minindex,":V",_xlpm.maxindex)), _xlpm.totalusersColumnrnge, INDIRECT(CONCATENATE("W",_xlpm.minindex,":W",_xlpm.maxindex)), _xlpm.concusersColumnrnge, INDIRECT(CONCATENATE("X",_xlpm.minindex,":X",_xlpm.maxindex)),
_xlpm.rnge1, IF(SUM(VALUE(_xlpm.concusersColumnrnge))= 1, 1,0),
OR(('Asset Info'!C16=Data_Constants!K50),AND(('Asset Info'!C16=Data_Constants!K51),
OR(('Asset Info'!C17=Data_Constants!H57),('Asset Info'!C17=Data_Constants!H58),('Asset Info'!C17=Data_Constants!H59)),
OR(('Asset Info'!C18=Data_Constants!K60),('Asset Info'!C18=Data_Constants!K61),('Asset Info'!C18=Data_Constants!K62))), AND(('Asset Info'!C16=Data_Constants!K49), MIN(_xlpm.rnge1)=1)))</f>
        <v/>
      </c>
      <c r="U3" s="136">
        <f>('Asset Info'!C20=Data_Constants!H69)</f>
        <v/>
      </c>
      <c r="V3" s="136">
        <f>('Asset Info'!C21=Data_Constants!K72)</f>
        <v/>
      </c>
      <c r="W3" s="136">
        <f>('Asset Info'!C22=Data_Constants!H75)</f>
        <v/>
      </c>
      <c r="X3" s="170">
        <f>('Asset Info'!C23=Data_Constants!K78)</f>
        <v/>
      </c>
      <c r="Y3" s="136">
        <f t="array" ref="Y3">_xlfn.LET(_xlpm.minindex, MATCH(Data_Constants!C7, $V$2:$V$300,0)+3,_xlpm.fullcolumnrnge, INDIRECT(CONCATENATE("V",_xlpm.minindex,":V300")), _xlpm.maxindex, MIN(IF(_xlpm.fullcolumnrnge="",ROW(_xlpm.fullcolumnrnge)))-1, _xlpm.usertypesColumnrnge, INDIRECT(CONCATENATE("V",_xlpm.minindex,":V",_xlpm.maxindex)), _xlpm.totalusersColumnrnge, INDIRECT(CONCATENATE("W",_xlpm.minindex,":W",_xlpm.maxindex)), _xlpm.concusersColumnrnge, INDIRECT(CONCATENATE("X",_xlpm.minindex,":X",_xlpm.maxindex)),
_xlpm.rnge1, IF(SUM(VALUE(_xlpm.concusersColumnrnge))= 1, TRUE,FALSE), _xlpm.rnge1)</f>
        <v/>
      </c>
    </row>
    <row r="4" ht="63.75" customHeight="1">
      <c r="B4" s="136" t="n">
        <v>2</v>
      </c>
      <c r="C4" s="139" t="inlineStr">
        <is>
          <t>Asset Information</t>
        </is>
      </c>
      <c r="D4" s="135">
        <f>Data_Constants!C102</f>
        <v/>
      </c>
      <c r="E4" s="136">
        <f>IF(LEN(B53)&gt;=Data_Constants!N3, Data_Constants!C30, Data_Constants!D30)</f>
        <v/>
      </c>
      <c r="F4" s="136">
        <f>IF(E4=Data_Constants!D30, FALSE, TRUE)</f>
        <v/>
      </c>
      <c r="H4" s="136" t="n">
        <v>2</v>
      </c>
      <c r="I4" s="135" t="inlineStr">
        <is>
          <t>Checks if the user concurrency distribution is done following the laid down constraints, and if the total user concurrency for the performance assessment is greater than or equal to 15, and less than or equal to 100.</t>
        </is>
      </c>
      <c r="J4" s="135">
        <f t="array" ref="J4">_xlfn.LET(_xlpm.minindex1, MATCH(Data_Constants!C7, $V$2:$V$300,0)+3,_xlpm.fullcolumnrnge1, INDIRECT(CONCATENATE("V",_xlpm.minindex1,":V300")), _xlpm.maxindex1, MIN(IF(_xlpm.fullcolumnrnge1="",ROW(_xlpm.fullcolumnrnge1)))-1, _xlpm.peakallconusersColumnrnge, INDIRECT(CONCATENATE("X",_xlpm.minindex1,":X",_xlpm.maxindex1)), _xlpm.minindex2, MATCH(Data_Constants!C11, $AJ$2:$AJ$300,0)+3,_xlpm.fullcolumnrnge2, INDIRECT(CONCATENATE("AJ",_xlpm.minindex2,":AJ300")), _xlpm.t_maxindex2, MIN(IF(_xlpm.fullcolumnrnge2="",ROW(_xlpm.fullcolumnrnge2)))-1, _xlpm.maxindex2, IF(_xlpm.t_maxindex2 &lt; _xlpm.minindex2, _xlpm.minindex2, _xlpm.t_maxindex2), _xlpm.onlinetxnconusersColumnrnge, IF(_xlpm.t_maxindex2 &lt; _xlpm.minindex2, 0, INDIRECT(CONCATENATE("AP",_xlpm.minindex2,":AP",_xlpm.maxindex2))), _xlpm.minindex3, MATCH(Data_Constants!C14, $BJ$2:$BJ$300,0)+3,_xlpm.fullcolumnrnge3, INDIRECT(CONCATENATE("BJ",_xlpm.minindex3,":BJ300")), _xlpm.t_maxindex3, MIN(IF(_xlpm.fullcolumnrnge3="",ROW(_xlpm.fullcolumnrnge3)))-1, _xlpm.maxindex3, IF(_xlpm.t_maxindex3 &lt; _xlpm.minindex3, _xlpm.minindex3, _xlpm.t_maxindex3), _xlpm.onlinerptconusersColumnrnge, IF(_xlpm.t_maxindex3 &lt; _xlpm.minindex3, 0, INDIRECT(CONCATENATE("BS",_xlpm.minindex3,":BS",_xlpm.maxindex3))), _xlpm.maxConcusers, IF(AND(ISNUMBER(_xlpm.peakallconusersColumnrnge),ISNUMBER(_xlpm.onlinetxnconusersColumnrnge),ISNUMBER(_xlpm.onlinerptconusersColumnrnge)), IF(SUM(_xlpm.peakallconusersColumnrnge)&gt;=SUM(_xlpm.onlinetxnconusersColumnrnge)+SUM(_xlpm.onlinerptconusersColumnrnge), SUM(_xlpm.peakallconusersColumnrnge), -1), -1), IF(_xlpm.maxConcusers&gt;=Data_Constants!N10, IF(_xlpm.maxConcusers&lt;=Data_Constants!N11, Data_Constants!C50, Data_Constants!D50), Data_Constants!D50))</f>
        <v/>
      </c>
      <c r="K4" s="136">
        <f>IF(J4=Data_Constants!D50, FALSE, TRUE)</f>
        <v/>
      </c>
      <c r="L4" s="135" t="n"/>
      <c r="M4" s="135">
        <f t="array" ref="M4">_xlfn.LET(
_xlpm.fullrnge1,INDIRECT(CONCATENATE("Performance!B",Data_Constants!N25,":F",Data_Constants!N25)),
_xlpm.softwarestackColumnrnge,INDIRECT(CONCATENATE("Performance!D",Data_Constants!N25,":D",Data_Constants!N25)),_xlpm.softwareversCol,INDIRECT(CONCATENATE("Performance!E",Data_Constants!N25,":E",Data_Constants!N25)),_xlpm.WebServerRange,INDIRECT(CONCATENATE("Data_Constants!AI3",":AI33")),_xlpm.WebServerCheckOutcomeList,COUNTIF(_xlpm.softwarestackColumnrnge,"*"&amp;_xlpm.WebServerRange&amp;"*"),IF(MAX(_xlpm.WebServerCheckOutcomeList)=0,"",_xlpm.softwarestackColumnrnge&amp;" "&amp;_xlpm.softwareversCol))</f>
        <v/>
      </c>
      <c r="N4" s="135">
        <f t="array" ref="N4">_xlfn.LET(
_xlpm.fullrnge1, INDIRECT(CONCATENATE("Performance!B",Data_Constants!N27+1,":F", Data_Constants!N27+1)),
_xlpm.softwarestackColumnrnge, INDIRECT(CONCATENATE("Performance!D",Data_Constants!N27+1,":D", Data_Constants!N27+1)), _xlpm.softwareversCol, INDIRECT(CONCATENATE("Performance!E",Data_Constants!N27+1,":E", Data_Constants!N27+1)), _xlpm.AppServerRange, INDIRECT(CONCATENATE("Data_Constants!AF3",":AF36")),
_xlpm.AppServerCheckOutcomeList, COUNTIF(_xlpm.softwarestackColumnrnge,"*"&amp;_xlpm.AppServerRange&amp;"*"), IF(MAX(_xlpm.AppServerCheckOutcomeList)=0,"",_xlpm.softwarestackColumnrnge&amp;" "&amp;_xlpm.softwareversCol))</f>
        <v/>
      </c>
      <c r="O4" s="135">
        <f t="array" ref="O4">_xlfn.LET(_xlpm.fullrnge1, INDIRECT(CONCATENATE("Performance!B",Data_Constants!N20,":F", Data_Constants!N20)),_xlpm.softwarestackColumnrnge, INDIRECT(CONCATENATE("Performance!D",Data_Constants!N20,":D", Data_Constants!N20)), _xlpm.softwareversCol, INDIRECT(CONCATENATE("Performance!E",Data_Constants!N20,":E", Data_Constants!N20)), _xlpm.DBServerRange, INDIRECT(CONCATENATE("Data_Constants!AC3",":AC32")),
_xlpm.DBServerCheckOutcomeList, COUNTIF(_xlpm.softwarestackColumnrnge,"*"&amp;_xlpm.DBServerRange&amp;"*"), IF(MAX(_xlpm.DBServerCheckOutcomeList)=0,"",_xlpm.softwarestackColumnrnge&amp;" "&amp;_xlpm.softwareversCol))</f>
        <v/>
      </c>
      <c r="P4" s="136">
        <f t="array" ref="P4">_xlfn.LET(_xlpm.fullrnge1, INDIRECT(CONCATENATE("Performance!B",Data_Constants!E5,":F", Data_Constants!E6)), _xlpm.softwarestackColumnrnge, INDIRECT(CONCATENATE("Performance!D",Data_Constants!E5,":D", Data_Constants!E6)), _xlpm.filteredfullrange, _xlfn._xlws.FILTER(_xlpm.fullrnge1, ISNUMBER(SEARCH(""&amp;Data_Constants!H49&amp;"", _xlpm.softwarestackColumnrnge))+ISNUMBER(SEARCH(""&amp;Data_Constants!H50&amp;"", _xlpm.softwarestackColumnrnge)), INDIRECT(CONCATENATE("A9999",":F9999"))),  _xlpm.softwareCol, _xlfn.CHOOSECOLS(_xlpm.filteredfullrange, 3), _xlpm.softwareversCol, _xlfn.CHOOSECOLS(_xlpm.filteredfullrange, 4), _xlpm.softwareCol&amp;" "&amp;_xlpm.softwareversCol)</f>
        <v/>
      </c>
      <c r="T4" s="18" t="n"/>
      <c r="Z4" s="138" t="n"/>
    </row>
    <row r="5" ht="63.75" customHeight="1">
      <c r="B5" s="136" t="n">
        <v>3</v>
      </c>
      <c r="C5" s="140" t="inlineStr">
        <is>
          <t>Deployment Requirements</t>
        </is>
      </c>
      <c r="D5" s="135">
        <f>Data_Constants!C103</f>
        <v/>
      </c>
      <c r="E5" s="135">
        <f t="array" ref="E5">_xlfn.LET(_xlpm.fullcolumnrnge, INDIRECT(CONCATENATE("H50",":H300")),
_xlpm.minindex, MATCH(Data_Constants!C3, $H$2:$H$300,0)+3,
_xlpm.maxindex, MIN(IF(_xlpm.fullcolumnrnge="",ROW(_xlpm.fullcolumnrnge)))-1,
_xlpm.serverColumnrnge, INDIRECT(CONCATENATE("H",_xlpm.minindex,":H",_xlpm.maxindex)),
_xlpm.numInstancesrnge, INDIRECT(CONCATENATE("I",_xlpm.minindex,":I",_xlpm.maxindex)),
_xlpm.cpuCoresrnge, INDIRECT(CONCATENATE("J",_xlpm.minindex,":J",_xlpm.maxindex)),
_xlpm.ramCaprnge, INDIRECT(CONCATENATE("K",_xlpm.minindex,":K",_xlpm.maxindex)),
IF(AND(NOT(ISBLANK(_xlpm.serverColumnrnge)),_xlpm.serverColumnrnge&lt;&gt;0, NOT(ISBLANK(_xlpm.numInstancesrnge)),
_xlpm.numInstancesrnge&lt;&gt;0,NOT(ISBLANK(_xlpm.cpuCoresrnge)),_xlpm.cpuCoresrnge&lt;&gt;0, NOT(ISBLANK(_xlpm.ramCaprnge)),_xlpm.ramCaprnge&lt;&gt;0,
IF(ISNUMBER(_xlpm.numInstancesrnge), IF(ISNUMBER(_xlpm.cpuCoresrnge), 1, 0), IF(_xlpm.cpuCoresrnge="NA", 1, 0)),
IF(ISNUMBER(_xlpm.numInstancesrnge), IF(ISNUMBER(_xlpm.ramCaprnge), 1, 0), IF(_xlpm.ramCaprnge="NA", 1, 0)),
IF(AND(E34=Data_Constants!C70,E37=Data_Constants!C79,E38=Data_Constants!C82),1,0)), Data_Constants!C31, Data_Constants!D31))</f>
        <v/>
      </c>
      <c r="F5" s="136">
        <f>IF(E5=Data_Constants!D31, FALSE, TRUE)</f>
        <v/>
      </c>
      <c r="H5" s="136" t="n">
        <v>3</v>
      </c>
      <c r="I5" s="135" t="inlineStr">
        <is>
          <t>Checks if the Application  is a normal web application based on the answer to the questionnaire in the 'Asset Info' sheet</t>
        </is>
      </c>
      <c r="J5" s="135">
        <f t="array" ref="J5">_xlfn.LET(_xlpm.deplomentCategoryAllowed, T3, _xlpm.lbcStrategyAllowed, U3,_xlpm.autoScaleAllowed, V3, _xlpm.techStackAllowed, W3, _xlpm.appTypeAllowed, X3,IF(AND(_xlpm.deplomentCategoryAllowed, _xlpm.lbcStrategyAllowed, _xlpm.autoScaleAllowed, _xlpm.techStackAllowed, _xlpm.appTypeAllowed), INDEX(Table_Messages[Valid case Message],29),INDEX(Table_Messages[Invalid case Message],29)))</f>
        <v/>
      </c>
      <c r="K5" s="136">
        <f>IF(J5=Data_Constants!D57, FALSE, TRUE)</f>
        <v/>
      </c>
      <c r="L5" s="135" t="n"/>
      <c r="M5" s="135" t="n"/>
      <c r="N5" s="135" t="n"/>
      <c r="O5" s="135" t="n"/>
    </row>
    <row r="6" ht="45.75" customHeight="1">
      <c r="B6" s="136" t="n">
        <v>4</v>
      </c>
      <c r="C6" s="141" t="inlineStr">
        <is>
          <t>Software Stack - Information</t>
        </is>
      </c>
      <c r="D6" s="135">
        <f>Data_Constants!C104</f>
        <v/>
      </c>
      <c r="E6" s="136">
        <f t="array" ref="E6">_xlfn.LET(
_xlpm.minindex, MATCH(Data_Constants!C5, $O$2:$O$300,0)+3,
_xlpm.fullcolumnrnge, INDIRECT(CONCATENATE("O",_xlpm.minindex,":O300")),
_xlpm.maxindex, MIN(IF(_xlpm.fullcolumnrnge="",ROW(_xlpm.fullcolumnrnge)))-1,
_xlpm.softwareNameColumnrnge, INDIRECT(CONCATENATE("Q",_xlpm.minindex,":Q",_xlpm.maxindex)),
_xlpm.versionNameColumnrnge, INDIRECT(CONCATENATE("R",_xlpm.minindex,":R",_xlpm.maxindex)),
_xlpm.range1, IF(ISNUMBER(SEARCH(",",_xlpm.softwareNameColumnrnge)),0,1),
IF(AND(COUNTBLANK(_xlpm.softwareNameColumnrnge)=0, _xlpm.versionNameColumnrnge&lt;&gt;0, COUNTBLANK(_xlpm.versionNameColumnrnge)=0,MIN(_xlpm.range1)=1),
Data_Constants!C32, Data_Constants!D32))</f>
        <v/>
      </c>
      <c r="F6" s="136">
        <f>IF(E6=Data_Constants!D32, FALSE, TRUE)</f>
        <v/>
      </c>
      <c r="I6" s="211" t="n"/>
      <c r="M6" s="135" t="n"/>
      <c r="N6" s="135" t="n"/>
      <c r="O6" s="135" t="n"/>
    </row>
    <row r="7" ht="25.5" customHeight="1">
      <c r="B7" s="136" t="n">
        <v>5</v>
      </c>
      <c r="C7" s="141" t="inlineStr">
        <is>
          <t>Software Stack - Information</t>
        </is>
      </c>
      <c r="D7" s="135">
        <f>Data_Constants!C105</f>
        <v/>
      </c>
      <c r="E7" s="136">
        <f t="array" ref="E7">_xlfn.LET(_xlpm.minindex, MATCH(Data_Constants!C5, $O$2:$O$300,0)+3,_xlpm.fullcolumnrnge, INDIRECT(CONCATENATE("O",_xlpm.minindex,":O200")), _xlpm.t_maxindex, MIN(IF(_xlpm.fullcolumnrnge="",ROW(_xlpm.fullcolumnrnge)))-1, _xlpm.maxindex, IF(_xlpm.t_maxindex &lt; _xlpm.minindex, _xlpm.minindex, _xlpm.t_maxindex), _xlpm.versionNameColumnrnge, INDIRECT(CONCATENATE("R",_xlpm.minindex,":R",_xlpm.maxindex)),
_xlpm.rnge1, IF(_xlfn.VALUETOTEXT(_xlpm.versionNameColumnrnge)="NA",1, IF(_xlfn.VALUETOTEXT(_xlpm.versionNameColumnrnge)="0",0, IF(ISTEXT(_xlpm.versionNameColumnrnge), 1, IF(ISNUMBER(_xlpm.versionNameColumnrnge), 1,0)))), IF(MIN(_xlpm.rnge1)=0, Data_Constants!D33, Data_Constants!C33))</f>
        <v/>
      </c>
      <c r="F7" s="136">
        <f>IF(E7=Data_Constants!D33, FALSE, TRUE)</f>
        <v/>
      </c>
      <c r="I7" s="136" t="inlineStr">
        <is>
          <t>Is there additional requirements out of the scope of auto-approval?</t>
        </is>
      </c>
      <c r="J7" s="136">
        <f>_xlfn.LET(_xlpm.sheetsinQOPD, INDIRECT(CONCATENATE("Data_Constants!H",92,":H",99)),IF(COUNTA(_xlpm.sheetsinQOPD)=_xlfn.SHEETS(), FALSE, TRUE))</f>
        <v/>
      </c>
      <c r="M7" s="135" t="n"/>
      <c r="N7" s="135" t="n"/>
      <c r="O7" s="135" t="n"/>
    </row>
    <row r="8" ht="63.75" customHeight="1">
      <c r="B8" s="136" t="n">
        <v>6</v>
      </c>
      <c r="C8" s="143" t="inlineStr">
        <is>
          <t>User Types – Requirements</t>
        </is>
      </c>
      <c r="D8" s="135">
        <f>Data_Constants!C106</f>
        <v/>
      </c>
      <c r="E8" s="136">
        <f t="array" ref="E8">_xlfn.LET(_xlpm.minindex, MATCH(Data_Constants!C7, $V$2:$V$300,0)+3,_xlpm.fullcolumnrnge, INDIRECT(CONCATENATE("V",_xlpm.minindex,":V300")), _xlpm.maxindex, MIN(IF(_xlpm.fullcolumnrnge="",ROW(_xlpm.fullcolumnrnge)))-1, _xlpm.usertypesColumnrnge, INDIRECT(CONCATENATE("V",_xlpm.minindex,":V",_xlpm.maxindex)), _xlpm.totalusersColumnrnge, INDIRECT(CONCATENATE("W",_xlpm.minindex,":W",_xlpm.maxindex)), _xlpm.concusersColumnrnge, INDIRECT(CONCATENATE("X",_xlpm.minindex,":X",_xlpm.maxindex)), _xlpm.evalRnge, IF(OR(NOT(_xlfn.VALUETOTEXT(_xlpm.usertypesColumnrnge)&lt;&gt;""), NOT(_xlfn.VALUETOTEXT(_xlpm.totalusersColumnrnge)&lt;&gt;""), NOT(_xlfn.VALUETOTEXT(_xlpm.concusersColumnrnge)&lt;&gt;"")),0, IF(OR(NOT(_xlfn.VALUETOTEXT(_xlpm.usertypesColumnrnge)&lt;&gt;"0"), NOT(_xlfn.VALUETOTEXT(_xlpm.totalusersColumnrnge)&lt;&gt;"0")), 1, IF(NOT(ISNUMBER(_xlpm.totalusersColumnrnge)), 2, IF(NOT(ISNUMBER(_xlpm.concusersColumnrnge)), 3, IF(VALUE(_xlpm.totalusersColumnrnge)&gt;=VALUE(_xlpm.concusersColumnrnge), 5, 4))))), IF(OR(MIN(_xlpm.evalRnge)=0,MIN(_xlpm.evalRnge)=1), Data_Constants!D52, IF(MIN(_xlpm.evalRnge)=2, Data_Constants!D53, IF(MIN(_xlpm.evalRnge)=3, Data_Constants!D54, IF(MIN(_xlpm.evalRnge)=5, Data_Constants!C34, Data_Constants!D55)))))</f>
        <v/>
      </c>
      <c r="F8" s="136">
        <f>IF(E8=Data_Constants!C34, TRUE, FALSE)</f>
        <v/>
      </c>
      <c r="M8" s="135" t="n"/>
      <c r="N8" s="135" t="n"/>
      <c r="O8" s="135" t="n"/>
    </row>
    <row r="9" ht="51" customHeight="1">
      <c r="B9" s="136" t="n">
        <v>7</v>
      </c>
      <c r="C9" s="144" t="inlineStr">
        <is>
          <t>Channels - Information</t>
        </is>
      </c>
      <c r="D9" s="135">
        <f>Data_Constants!C107</f>
        <v/>
      </c>
      <c r="E9" s="136">
        <f t="array" ref="E9">_xlfn.LET(_xlpm.minindex, MATCH(Data_Constants!C9, $AD$2:$AD$300,0)+3,_xlpm.fullcolumnrnge, INDIRECT(CONCATENATE("AD",_xlpm.minindex,":AD300")), _xlpm.maxindex, MIN(IF(_xlpm.fullcolumnrnge="",ROW(_xlpm.fullcolumnrnge)))-1, _xlpm.percentofuserscolumnrnge, INDIRECT(CONCATENATE("AE",_xlpm.minindex,":AE",_xlpm.maxindex)), _xlpm.percentagesum, IF(AND( NOT(ISBLANK(_xlpm.percentofuserscolumnrnge)),ISNUMBER(_xlpm.percentofuserscolumnrnge)),SUM(VALUE(_xlpm.percentofuserscolumnrnge)), "INVALID_SUM"), IF(_xlpm.percentagesum=100, Data_Constants!C35, Data_Constants!D35))</f>
        <v/>
      </c>
      <c r="F9" s="136">
        <f>IF(E9=Data_Constants!D35, FALSE, TRUE)</f>
        <v/>
      </c>
      <c r="M9" s="135" t="n"/>
      <c r="N9" s="135" t="n"/>
      <c r="O9" s="135" t="n"/>
    </row>
    <row r="10" ht="38.25" customHeight="1">
      <c r="B10" s="136" t="n">
        <v>8</v>
      </c>
      <c r="C10" s="145" t="inlineStr">
        <is>
          <t>Response Times - Online Txns – Requirements</t>
        </is>
      </c>
      <c r="D10" s="135">
        <f>Data_Constants!C108</f>
        <v/>
      </c>
      <c r="E10" s="136">
        <f t="array" ref="E10">_xlfn.LET(
_xlpm.minindex1, MATCH(Data_Constants!C11, $AJ$2:$AJ$300,0)+3,
_xlpm.fullcolumnrnge1,INDIRECT(CONCATENATE("AJ",_xlpm.minindex1,":AJ300")),
_xlpm.maxindex1, MIN(IF(_xlpm.fullcolumnrnge1="",ROW(_xlpm.fullcolumnrnge1)))-1,
_xlpm.txnDesccolumnrnge, INDIRECT(CONCATENATE("AK",_xlpm.minindex1,":AK",_xlpm.maxindex1)),
_xlpm.addminx1, INDIRECT(CONCATENATE("AJ", _xlpm.minindex1,":AP", _xlpm.maxindex1)),
_xlpm.minindex2, MATCH(Data_Constants!C13, $AW$2:$AW$300,0)+3,
_xlpm.fullcolumnrnge2, INDIRECT(CONCATENATE("AW",_xlpm.minindex2,":AW300")),
_xlpm.maxindex2, MIN(IF(_xlpm.fullcolumnrnge2="",ROW(_xlpm.fullcolumnrnge2)))-1,
_xlpm.addminx2, INDIRECT(CONCATENATE("AW", _xlpm.minindex2,":BD", _xlpm.maxindex2)),
_xlpm.minindex3, MATCH(Data_Constants!C15, $BJ$2:$BJ$300,0)+3,
_xlpm.fullcolumnrnge3, INDIRECT(CONCATENATE("BJ",_xlpm.minindex3,":BJ300")),
_xlpm.maxindex3, MIN(IF(_xlpm.fullcolumnrnge3="",ROW(_xlpm.fullcolumnrnge3)))-1,
_xlpm.addminx3, INDIRECT(CONCATENATE("BJ", _xlpm.minindex3,":BN", _xlpm.maxindex3)),
_xlpm.rnge1, IF(OR(ISBLANK(_xlpm.addminx1),(_xlfn.CHOOSECOLS(_xlpm.addminx1,1,2,5,6,7))="NA"),0,1),
_xlpm.rnge2, IF(OR(ISBLANK(_xlpm.addminx2),(_xlpm.addminx2)="NA"),0,1),
_xlpm.rnge3, IF(OR(ISBLANK(_xlpm.addminx3),(_xlpm.addminx3)="NA"),0,1),
IF(AND(MIN(_xlpm.rnge1)=0,MIN(_xlpm.rnge2)=0,MIN(_xlpm.rnge3)=0),Data_Constants!D83,
IF(  AND(MIN(_xlpm.rnge1)=0,OR(MIN(_xlpm.rnge2)=1,MIN(_xlpm.rnge3)=1)  ),Data_Constants!C83,
IF(MIN(_xlpm.rnge1)=1,IF(AND(_xlpm.txnDesccolumnrnge&lt;&gt;"", LEN(_xlpm.txnDesccolumnrnge)&gt;=Data_Constants!N7), Data_Constants!C36, Data_Constants!D36),"This will not happen"))))</f>
        <v/>
      </c>
      <c r="F10" s="136">
        <f>IF(OR(E10=Data_Constants!D36,E10=Data_Constants!D83,), FALSE, TRUE)</f>
        <v/>
      </c>
      <c r="M10" s="136">
        <f t="array" ref="M10">_xlfn.LET(_xlpm.fullrnge1, INDIRECT(CONCATENATE("Performance!B",Data_Constants!E5,":F", Data_Constants!E6)), _xlpm.softwarestackColumnrnge, INDIRECT(CONCATENATE("Performance!D",Data_Constants!E5,":D", Data_Constants!E6)), _xlpm.filteredfullrange, _xlfn._xlws.FILTER(_xlpm.fullrnge1, ISNUMBER(SEARCH("*"&amp;Data_Constants!$H$27:$H$29&amp;"*", _xlpm.softwarestackColumnrnge)), INDIRECT(CONCATENATE("A9999",":F9999"))),  _xlpm.softwareCol, _xlfn.CHOOSECOLS(_xlpm.filteredfullrange, 3), _xlpm.softwareversCol, _xlfn.CHOOSECOLS(_xlpm.filteredfullrange, 4), _xlpm.softwareCol&amp;" "&amp;_xlpm.softwareversCol)</f>
        <v/>
      </c>
    </row>
    <row r="11" ht="38.25" customHeight="1">
      <c r="B11" s="136" t="n">
        <v>9</v>
      </c>
      <c r="C11" s="145" t="inlineStr">
        <is>
          <t>Response Times - Online Txns – Requirements</t>
        </is>
      </c>
      <c r="D11" s="135">
        <f>Data_Constants!C109</f>
        <v/>
      </c>
      <c r="E11" s="136">
        <f t="array" ref="E11">_xlfn.LET(
_xlpm.minindex1, MATCH(Data_Constants!C11, $AJ$2:$AJ$300,0)+3,
_xlpm.fullcolumnrnge1,INDIRECT(CONCATENATE("AJ",_xlpm.minindex1,":AJ300")),
_xlpm.maxindex1, MIN(IF(_xlpm.fullcolumnrnge1="",ROW(_xlpm.fullcolumnrnge1)))-1,
_xlpm.slaColumnrnge, INDIRECT(CONCATENATE("AN",_xlpm.minindex1,":AN",_xlpm.maxindex1)),
_xlpm.addminx1, INDIRECT(CONCATENATE("AJ", _xlpm.minindex1,":AP", _xlpm.maxindex1)),
_xlpm.minindex2, MATCH(Data_Constants!C13, $AW$2:$AW$300,0)+3,
_xlpm.fullcolumnrnge2, INDIRECT(CONCATENATE("AW",_xlpm.minindex2,":AW300")),
_xlpm.maxindex2, MIN(IF(_xlpm.fullcolumnrnge2="",ROW(_xlpm.fullcolumnrnge2)))-1,
_xlpm.addminx2, INDIRECT(CONCATENATE("AW", _xlpm.minindex2,":BD", _xlpm.maxindex2)),
_xlpm.minindex3, MATCH(Data_Constants!C15, $BJ$2:$BJ$300,0)+3,
_xlpm.fullcolumnrnge3, INDIRECT(CONCATENATE("BJ",_xlpm.minindex3,":BJ300")),
_xlpm.maxindex3, MIN(IF(_xlpm.fullcolumnrnge3="",ROW(_xlpm.fullcolumnrnge3)))-1,
_xlpm.addminx3, INDIRECT(CONCATENATE("BJ", _xlpm.minindex3,":BN", _xlpm.maxindex3)),
_xlpm.rnge1, IF(OR(ISBLANK(_xlpm.addminx1),(_xlfn.CHOOSECOLS(_xlpm.addminx1,1,2,5,6,7))="NA"),0,1),
_xlpm.rnge2, IF(OR(ISBLANK(_xlpm.addminx2),(_xlpm.addminx2)="NA"),0,1),
_xlpm.rnge3, IF(OR(ISBLANK(_xlpm.addminx3),(_xlpm.addminx3)="NA"),0,1),
_xlpm.rnge4, IF(ISNUMBER(MIN(_xlpm.slaColumnrnge)), IF(MIN(_xlpm.slaColumnrnge)=0,0,1),0),
IF(AND(MIN(_xlpm.rnge1)=0,MIN(_xlpm.rnge2)=0,MIN(_xlpm.rnge3)=0),Data_Constants!D83,
IF(AND(MIN(_xlpm.rnge1)=0,OR(MIN(_xlpm.rnge2)=1,MIN(_xlpm.rnge3)=1)  ),Data_Constants!C83,
IF(AND(MIN(_xlpm.rnge1)=1, _xlpm.rnge4=1), Data_Constants!C37,
IF(AND(MIN(_xlpm.rnge1)=1, _xlpm.rnge4=0), Data_Constants!D37,Data_Constants!C37
)))))</f>
        <v/>
      </c>
      <c r="F11" s="136">
        <f>IF(OR(E11=Data_Constants!D37,E11=Data_Constants!D83,), FALSE, TRUE)</f>
        <v/>
      </c>
    </row>
    <row r="12" ht="38.25" customHeight="1">
      <c r="B12" s="136" t="n">
        <v>10</v>
      </c>
      <c r="C12" s="145" t="inlineStr">
        <is>
          <t>Response Times - Online Txns – Requirements</t>
        </is>
      </c>
      <c r="D12" s="135">
        <f>Data_Constants!C110</f>
        <v/>
      </c>
      <c r="E12" s="136">
        <f t="array" ref="E12">_xlfn.LET(
_xlpm.minindex1, MATCH(Data_Constants!C11, $AJ$2:$AJ$300,0)+3,
_xlpm.fullcolumnrnge1, INDIRECT(CONCATENATE("AJ",_xlpm.minindex1,":AJ300")),
_xlpm.maxindex1, MIN(IF(_xlpm.fullcolumnrnge1="",ROW(_xlpm.fullcolumnrnge1)))-1,
_xlpm.uslaColumnrnge, INDIRECT(CONCATENATE("AO",_xlpm.minindex1,":AO",_xlpm.maxindex1)),
_xlpm.addminx1, INDIRECT(CONCATENATE("AJ", _xlpm.minindex1,":AP", _xlpm.maxindex1)),
_xlpm.minindex2, MATCH(Data_Constants!C13, $AW$2:$AW$300,0)+3,
_xlpm.fullcolumnrnge2, INDIRECT(CONCATENATE("AW",_xlpm.minindex2,":AW300")),
_xlpm.maxindex2, MIN(IF(_xlpm.fullcolumnrnge2="",ROW(_xlpm.fullcolumnrnge2)))-1,
_xlpm.addminx2, INDIRECT(CONCATENATE("AW", _xlpm.minindex2,":BD", _xlpm.maxindex2)),
_xlpm.minindex3, MATCH(Data_Constants!C15, $BJ$2:$BJ$300,0)+3,
_xlpm.fullcolumnrnge3, INDIRECT(CONCATENATE("BJ",_xlpm.minindex3,":BJ300")),
_xlpm.maxindex3, MIN(IF(_xlpm.fullcolumnrnge3="",ROW(_xlpm.fullcolumnrnge3)))-1,
_xlpm.addminx3, INDIRECT(CONCATENATE("BJ", _xlpm.minindex3,":BN", _xlpm.maxindex3)),
_xlpm.rnge1, IF(OR(ISBLANK(_xlpm.addminx1),(_xlfn.CHOOSECOLS(_xlpm.addminx1,1,2,5,6,7))="NA"),0,1),
_xlpm.rnge2, IF(OR(ISBLANK(_xlpm.addminx2),(_xlpm.addminx2)="NA"),0,1),
_xlpm.rnge3, IF(OR(ISBLANK(_xlpm.addminx3),(_xlpm.addminx3)="NA"),0,1),
_xlpm.rnge4, IF(ISNUMBER(_xlpm.uslaColumnrnge), IF(_xlpm.uslaColumnrnge=0, 0,1)),
IF(AND(MIN(_xlpm.rnge1)=0,MIN(_xlpm.rnge2)=0,MIN(_xlpm.rnge3)=0),Data_Constants!D83,
IF(AND(MIN(_xlpm.rnge1)=0,OR(MIN(_xlpm.rnge2)=1,MIN(_xlpm.rnge3)=1)  ),Data_Constants!C83,
IF(MIN(_xlpm.rnge4)=1,  Data_Constants!C38, Data_Constants!D38))))</f>
        <v/>
      </c>
      <c r="F12" s="136">
        <f>IF(OR(E12=Data_Constants!D38,E12=Data_Constants!D83,), FALSE, TRUE)</f>
        <v/>
      </c>
    </row>
    <row r="13" ht="38.25" customHeight="1">
      <c r="B13" s="136" t="n">
        <v>11</v>
      </c>
      <c r="C13" s="145" t="inlineStr">
        <is>
          <t>Response Times - Online Txns – Requirements</t>
        </is>
      </c>
      <c r="D13" s="135">
        <f>Data_Constants!C111</f>
        <v/>
      </c>
      <c r="E13" s="136">
        <f t="array" ref="E13">_xlfn.LET(
_xlpm.minindex1, MATCH(Data_Constants!C11, $AJ$2:$AJ$300,0)+3,
_xlpm.fullcolumnrnge1, INDIRECT(CONCATENATE("AJ",_xlpm.minindex1,":AJ300")),
_xlpm.maxindex1, MIN(IF(_xlpm.fullcolumnrnge1="",ROW(_xlpm.fullcolumnrnge1)))-1,
_xlpm.slaColumnrnge, INDIRECT(CONCATENATE("AN",_xlpm.minindex1,":AN",_xlpm.maxindex1)),
_xlpm.uslaColumnrnge, INDIRECT(CONCATENATE("AO",_xlpm.minindex1,":AO",_xlpm.maxindex1)),
_xlpm.addminx1, INDIRECT(CONCATENATE("AJ", _xlpm.minindex1,":AP", _xlpm.maxindex1)),
_xlpm.minindex2, MATCH(Data_Constants!C13, $AW$2:$AW$300,0)+3,
_xlpm.fullcolumnrnge2, INDIRECT(CONCATENATE("AW",_xlpm.minindex2,":AW300")),
_xlpm.maxindex2, MIN(IF(_xlpm.fullcolumnrnge2="",ROW(_xlpm.fullcolumnrnge2)))-1,
_xlpm.addminx2, INDIRECT(CONCATENATE("AW", _xlpm.minindex2,":BD", _xlpm.maxindex2)),
_xlpm.minindex3, MATCH(Data_Constants!C15, $BJ$2:$BJ$300,0)+3,
_xlpm.fullcolumnrnge3, INDIRECT(CONCATENATE("BJ",_xlpm.minindex3,":BJ300")),
_xlpm.maxindex3, MIN(IF(_xlpm.fullcolumnrnge3="",ROW(_xlpm.fullcolumnrnge3)))-1,
_xlpm.addminx3, INDIRECT(CONCATENATE("BJ", _xlpm.minindex3,":BN", _xlpm.maxindex3)),
_xlpm.rnge1, IF(OR(ISBLANK(_xlpm.addminx1),(_xlfn.CHOOSECOLS(_xlpm.addminx1,1,2,5,6,7))="NA"),0,1),
_xlpm.rnge2, IF(OR(ISBLANK(_xlpm.addminx2),(_xlpm.addminx2)="NA"),0,1),
_xlpm.rnge3, IF(OR(ISBLANK(_xlpm.addminx3),(_xlpm.addminx3)="NA"),0,1),
_xlpm.rnge4, IF(ISNUMBER(_xlpm.slaColumnrnge), IF(MOD(_xlpm.slaColumnrnge,1)=0, 1, 0), 0),
_xlpm.rnge5, IF(ISNUMBER(_xlpm.uslaColumnrnge), IF(MOD(_xlpm.uslaColumnrnge,1)=0, 1, 0), 0),
_xlpm.isSLAUSLAValid, IF(AND(MIN(_xlpm.rnge4)&lt;&gt;0, MIN(_xlpm.rnge5)&lt;&gt;0), IF(AND(_xlpm.uslaColumnrnge&lt;=_xlpm.slaColumnrnge*1.6, _xlpm.uslaColumnrnge&gt;=_xlpm.slaColumnrnge), 1, 0), 0),
IF(AND(MIN(_xlpm.rnge1)=0,MIN(_xlpm.rnge2)=0,MIN(_xlpm.rnge3)=0),Data_Constants!D83,
IF(AND(MIN(_xlpm.rnge1)=0,OR(MIN(_xlpm.rnge2)=1,MIN(_xlpm.rnge3)=1)  ),Data_Constants!C83,
IF(_xlpm.isSLAUSLAValid, Data_Constants!C39, Data_Constants!D39))))</f>
        <v/>
      </c>
      <c r="F13" s="136">
        <f>IF(OR(E13=Data_Constants!D39,E13=Data_Constants!D83,), FALSE, TRUE)</f>
        <v/>
      </c>
    </row>
    <row r="14" ht="25.5" customHeight="1">
      <c r="B14" s="136" t="n">
        <v>12</v>
      </c>
      <c r="C14" s="145" t="inlineStr">
        <is>
          <t>Response Times - Online Txns – Requirements</t>
        </is>
      </c>
      <c r="D14" s="135">
        <f>Data_Constants!C112</f>
        <v/>
      </c>
      <c r="E14" s="136">
        <f t="array" ref="E14">_xlfn.LET(
_xlpm.minindex1, MATCH(Data_Constants!C11, $AJ$2:$AJ$300,0)+3,
_xlpm.fullcolumnrnge1, INDIRECT(CONCATENATE("AJ",_xlpm.minindex1,":AJ300")),
_xlpm.maxindex1, MIN(IF(_xlpm.fullcolumnrnge1="",ROW(_xlpm.fullcolumnrnge1)))-1,
_xlpm.concusersColumnrnge, INDIRECT(CONCATENATE("AP",_xlpm.minindex1,":AP",_xlpm.maxindex1)),
_xlpm.addminx1, INDIRECT(CONCATENATE("AJ", _xlpm.minindex1,":AP", _xlpm.maxindex1)),
_xlpm.minindex2, MATCH(Data_Constants!C13, $AW$2:$AW$300,0)+3,
_xlpm.fullcolumnrnge2, INDIRECT(CONCATENATE("AW",_xlpm.minindex2,":AW300")),
_xlpm.maxindex2, MIN(IF(_xlpm.fullcolumnrnge2="",ROW(_xlpm.fullcolumnrnge2)))-1,
_xlpm.addminx2, INDIRECT(CONCATENATE("AW", _xlpm.minindex2,":BD", _xlpm.maxindex2)),
_xlpm.minindex3, MATCH(Data_Constants!C15, $BJ$2:$BJ$300,0)+3,
_xlpm.fullcolumnrnge3, INDIRECT(CONCATENATE("BJ",_xlpm.minindex3,":BJ300")),
_xlpm.maxindex3, MIN(IF(_xlpm.fullcolumnrnge3="",ROW(_xlpm.fullcolumnrnge3)))-1,
_xlpm.addminx3, INDIRECT(CONCATENATE("BJ", _xlpm.minindex3,":BN", _xlpm.maxindex3)),
_xlpm.rnge1, IF(OR(ISBLANK(_xlpm.addminx1),(_xlfn.CHOOSECOLS(_xlpm.addminx1,1,2,5,6,7))="NA"),0,1),
_xlpm.rnge2, IF(OR(ISBLANK(_xlpm.addminx2),(_xlpm.addminx2)="NA"),0,1),
_xlpm.rnge3, IF(OR(ISBLANK(_xlpm.addminx3),(_xlpm.addminx3)="NA"),0,1),
_xlpm.rnge4, IF(ISNUMBER(_xlpm.concusersColumnrnge), IF(MOD(_xlpm.concusersColumnrnge,1)=0, 1, 0), 0),
IF(AND(MIN(_xlpm.rnge1)=0,MIN(_xlpm.rnge2)=0,MIN(_xlpm.rnge3)=0),Data_Constants!D83,
IF(AND(MIN(_xlpm.rnge1)=0,OR(MIN(_xlpm.rnge2)=1,MIN(_xlpm.rnge3)=1)  ),Data_Constants!C83,
IF(MIN(_xlpm.rnge4)=0, Data_Constants!D40, Data_Constants!C40))))</f>
        <v/>
      </c>
      <c r="F14" s="136">
        <f>IF(OR(E14=Data_Constants!D40,E14=Data_Constants!D83,), FALSE, TRUE)</f>
        <v/>
      </c>
    </row>
    <row r="15" ht="38.25" customHeight="1">
      <c r="B15" s="136" t="n">
        <v>13</v>
      </c>
      <c r="C15" s="145" t="inlineStr">
        <is>
          <t>Response Times - Online Txns – Requirements</t>
        </is>
      </c>
      <c r="D15" s="135">
        <f>Data_Constants!C113</f>
        <v/>
      </c>
      <c r="E15" s="136">
        <f t="array" ref="E15">_xlfn.LET(
_xlpm.minindex1, MATCH(Data_Constants!C7, $V$2:$V$300,0)+3,
_xlpm.fullcolumnrnge1, INDIRECT(CONCATENATE("V",_xlpm.minindex1,":V300")),
_xlpm.maxindex1, MIN(IF(_xlpm.fullcolumnrnge1="",ROW(_xlpm.fullcolumnrnge1)))-1,
_xlpm.peakallwconusersColumnrnge, INDIRECT(CONCATENATE("X",_xlpm.minindex1,":X",_xlpm.maxindex1)),
_xlpm.minindex2, MATCH(Data_Constants!C11, $AJ$2:$AJ$300,0)+3,
_xlpm.fullcolumnrnge2, INDIRECT(CONCATENATE("AJ",_xlpm.minindex2,":AJ300")),
_xlpm.t_maxindex2, MIN(IF(_xlpm.fullcolumnrnge2="",ROW(_xlpm.fullcolumnrnge2)))-1,
_xlpm.maxindex2, IF(_xlpm.t_maxindex2 &lt; _xlpm.minindex2, _xlpm.minindex2, _xlpm.t_maxindex2),
_xlpm.addminx2, INDIRECT(CONCATENATE("AJ", _xlpm.minindex2,":AP", _xlpm.maxindex2)),
_xlpm.onlinetxnconusersColumnrnge, IF(_xlpm.t_maxindex2 &lt; _xlpm.minindex2, 0, INDIRECT(CONCATENATE("AP",_xlpm.minindex2,":AP",_xlpm.maxindex2))),
_xlpm.minindex3, MATCH(Data_Constants!C14, $BJ$2:$BJ$300,0)+3,
_xlpm.fullcolumnrnge3, INDIRECT(CONCATENATE("BJ",_xlpm.minindex3,":BJ300")),
_xlpm.t_maxindex3, MIN(IF(_xlpm.fullcolumnrnge3="",ROW(_xlpm.fullcolumnrnge3)))-1,
_xlpm.maxindex3, IF(_xlpm.t_maxindex3 &lt; _xlpm.minindex3, _xlpm.minindex3, _xlpm.t_maxindex3),
_xlpm.onlinerptconusersColumnrnge, IF(_xlpm.t_maxindex3 &lt; _xlpm.minindex3, 0, INDIRECT(CONCATENATE("BS",_xlpm.minindex3,":BS",_xlpm.maxindex3))),
_xlpm.addminx3, INDIRECT(CONCATENATE("BJ", _xlpm.minindex3,":BN", _xlpm.maxindex3)),
_xlpm.minindex4, MATCH(Data_Constants!C13, $AW$2:$AW$300,0)+3,
_xlpm.fullcolumnrnge4, INDIRECT(CONCATENATE("AW",_xlpm.minindex4,":AW300")),
_xlpm.maxindex4, MIN(IF(_xlpm.fullcolumnrnge4="",ROW(_xlpm.fullcolumnrnge4)))-1,
_xlpm.addminx4, INDIRECT(CONCATENATE("AW", _xlpm.minindex4,":BD", _xlpm.maxindex4)),
_xlpm.rnge1, IF(OR(ISBLANK(_xlpm.addminx2),(_xlfn.CHOOSECOLS(_xlpm.addminx2,1,2,5,6,7))="NA"),0,1),
_xlpm.rnge2, IF(OR(ISBLANK(_xlpm.addminx3),(_xlpm.addminx3)="NA"),0,1),
_xlpm.rnge3, IF(OR(ISBLANK(_xlpm.addminx4),(_xlpm.addminx4)="NA"),0,1),
IF(AND(MIN(_xlpm.rnge1)=0,MIN(_xlpm.rnge2)=0,MIN(_xlpm.rnge3)=0),Data_Constants!D83,
IF(AND(MIN(_xlpm.rnge1)=0,OR(MIN(_xlpm.rnge2)=1,MIN(_xlpm.rnge3)=1)  ),Data_Constants!C83,
IF(AND(ISNUMBER(_xlpm.peakallwconusersColumnrnge),ISNUMBER(_xlpm.onlinetxnconusersColumnrnge),ISNUMBER(_xlpm.onlinerptconusersColumnrnge)), IF(SUM(VALUE(_xlpm.peakallwconusersColumnrnge))=SUM(VALUE(_xlpm.onlinetxnconusersColumnrnge))+SUM(_xlpm.onlinerptconusersColumnrnge), Data_Constants!C41, Data_Constants!D41), Data_Constants!D41))))</f>
        <v/>
      </c>
      <c r="F15" s="136">
        <f>IF(OR(E15=Data_Constants!D41,E15=Data_Constants!D83,), FALSE, TRUE)</f>
        <v/>
      </c>
    </row>
    <row r="16" ht="38.25" customHeight="1">
      <c r="B16" s="136" t="n">
        <v>14</v>
      </c>
      <c r="C16" s="145" t="inlineStr">
        <is>
          <t>Response Times - Online Txns – Requirements</t>
        </is>
      </c>
      <c r="D16" s="135">
        <f>Data_Constants!C114</f>
        <v/>
      </c>
      <c r="E16" s="136">
        <f t="array" ref="E16">_xlfn.LET(
_xlpm.minindex1, MATCH(Data_Constants!C11, $AJ$2:$AJ$300,0)+3,
_xlpm.fullcolumnrnge1, INDIRECT(CONCATENATE("AJ",_xlpm.minindex1,":AJ300")),
_xlpm.maxindex1, MIN(IF(_xlpm.fullcolumnrnge1="",ROW(_xlpm.fullcolumnrnge1)))-1,
_xlpm.slaColumnrnge, INDIRECT(CONCATENATE("AN",_xlpm.minindex1,":AN",_xlpm.maxindex1)),
_xlpm.remarksColumnrnge, INDIRECT(CONCATENATE("AT",_xlpm.minindex1,":AT",_xlpm.maxindex1)),
_xlpm.addminx1, INDIRECT(CONCATENATE("AJ", _xlpm.minindex1,":AP", _xlpm.maxindex1)),
_xlpm.minindex2, MATCH(Data_Constants!C13, $AW$2:$AW$300,0)+3,
_xlpm.fullcolumnrnge2, INDIRECT(CONCATENATE("AW",_xlpm.minindex2,":AW300")),
_xlpm.maxindex2, MIN(IF(_xlpm.fullcolumnrnge2="",ROW(_xlpm.fullcolumnrnge2)))-1,
_xlpm.addminx2, INDIRECT(CONCATENATE("AW", _xlpm.minindex2,":BD", _xlpm.maxindex2)),
_xlpm.minindex3, MATCH(Data_Constants!C15, $BJ$2:$BJ$300,0)+3,
_xlpm.fullcolumnrnge3, INDIRECT(CONCATENATE("BJ",_xlpm.minindex3,":BJ300")),
_xlpm.maxindex3, MIN(IF(_xlpm.fullcolumnrnge3="",ROW(_xlpm.fullcolumnrnge3)))-1,
_xlpm.addminx3, INDIRECT(CONCATENATE("BJ", _xlpm.minindex3,":BN", _xlpm.maxindex3)),
_xlpm.rnge1, IF(OR(ISBLANK(_xlpm.addminx1),(_xlfn.CHOOSECOLS(_xlpm.addminx1,1,2,5,6,7))="NA"),0,1),
_xlpm.rnge2, IF(OR(ISBLANK(_xlpm.addminx2),(_xlpm.addminx2)="NA"),0,1),
_xlpm.rnge3, IF(OR(ISBLANK(_xlpm.addminx3),(_xlpm.addminx3)="NA"),0,1),
_xlpm.rnge4, IF(_xlpm.slaColumnrnge=0, 0,1),
_xlpm.rnge5, IF(_xlpm.slaColumnrnge&lt;=5, 1,0),
_xlpm.rnge6, IF(_xlpm.slaColumnrnge&gt;5, IF(LEN(_xlpm.remarksColumnrnge)&gt;=10, 1,0),1),
IF(AND(MIN(_xlpm.rnge1)=0,MIN(_xlpm.rnge2)=0,MIN(_xlpm.rnge3)=0),Data_Constants!D83,
IF(AND(MIN(_xlpm.rnge1)=0,OR(MIN(_xlpm.rnge2)=1,MIN(_xlpm.rnge3)=1)  ),Data_Constants!C83,
IF(MIN(_xlpm.rnge4)=0, Data_Constants!D37, IF(MIN(_xlpm.rnge5)=1, Data_Constants!C68, IF(MIN(_xlpm.rnge5)=0, IF(MIN(_xlpm.rnge6)=0, Data_Constants!D42, Data_Constants!C42)))))))</f>
        <v/>
      </c>
      <c r="F16" s="136">
        <f>IF(OR(E16=Data_Constants!D42,E16=Data_Constants!D37,E16=Data_Constants!D83,), FALSE, TRUE)</f>
        <v/>
      </c>
    </row>
    <row r="17" ht="26.25" customHeight="1">
      <c r="B17" s="136" t="n">
        <v>15</v>
      </c>
      <c r="C17" s="146" t="inlineStr">
        <is>
          <t>Response Times - Batch Jobs – Requirements</t>
        </is>
      </c>
      <c r="D17" s="135">
        <f>Data_Constants!C118</f>
        <v/>
      </c>
      <c r="E17" s="136">
        <f t="array" ref="E17">_xlfn.LET(
_xlpm.minindex1, MATCH(Data_Constants!C11, $AJ$2:$AJ$300,0)+3,
_xlpm.fullcolumnrnge1, INDIRECT(CONCATENATE("AJ",_xlpm.minindex1,":AJ300")),
_xlpm.maxindex1, MIN(IF(_xlpm.fullcolumnrnge1="",ROW(_xlpm.fullcolumnrnge1)))-1,
_xlpm.addminx1, INDIRECT(CONCATENATE("AJ", _xlpm.minindex1,":AP", _xlpm.maxindex1)),
_xlpm.minindex3, MATCH(Data_Constants!C15, $BJ$2:$BJ$300,0)+3,
_xlpm.fullcolumnrnge3, INDIRECT(CONCATENATE("BJ",_xlpm.minindex3,":BJ300")),
_xlpm.maxindex3, MIN(IF(_xlpm.fullcolumnrnge3="",ROW(_xlpm.fullcolumnrnge3)))-1,
_xlpm.addminx3, INDIRECT(CONCATENATE("BJ", _xlpm.minindex3,":BN", _xlpm.maxindex3)),
_xlpm.minindex2, MATCH(Data_Constants!C13, $AW$2:$AW$300,0)+3,
_xlpm.fullcolumnrnge2, INDIRECT(CONCATENATE("AW",_xlpm.minindex2,":AW300")),
_xlpm.maxindex2,MIN(IF(_xlpm.fullcolumnrnge2="",ROW(_xlpm.fullcolumnrnge2)))-1,
_xlpm.addminx2, INDIRECT(CONCATENATE("AW", _xlpm.minindex2,":BD", _xlpm.maxindex2)),
_xlpm.avgtimeforbatchColumnrnge, INDIRECT(CONCATENATE("AZ",_xlpm.minindex2,":AZ",_xlpm.maxindex2)),
_xlpm.timeval, IF(NOT(ISERROR(FIND(Data_Constants!I11,
_xlpm.avgtimeforbatchColumnrnge))), CONVERT(LEFT(_xlpm.avgtimeforbatchColumnrnge, FIND(Data_Constants!I11, _xlpm.avgtimeforbatchColumnrnge)-2), "min", Data_Constants!I13), IF(NOT(ISERROR(FIND(Data_Constants!I10, _xlpm.avgtimeforbatchColumnrnge))), CONVERT(LEFT(_xlpm.avgtimeforbatchColumnrnge, FIND(Data_Constants!I10, _xlpm.avgtimeforbatchColumnrnge)-2), "hr", Data_Constants!I13), IF(NOT(ISERROR(FIND(Data_Constants!I12, _xlpm.avgtimeforbatchColumnrnge))), CONVERT(LEFT(_xlpm.avgtimeforbatchColumnrnge, FIND(Data_Constants!I12, _xlpm.avgtimeforbatchColumnrnge)-2), "sec", Data_Constants!I13)))),
_xlpm.rnge1, IF(OR(ISBLANK(_xlpm.addminx1),(_xlfn.CHOOSECOLS(_xlpm.addminx1,1,2,5,6,7))="NA"),0,1),
_xlpm.rnge3, IF(OR(ISBLANK(_xlpm.addminx3),(_xlpm.addminx3)="NA"),0,1),
_xlpm.rnge2, IF(OR(ISBLANK(_xlpm.addminx2),(_xlpm.addminx2)="NA"),0,1),
_xlpm.rnge4, IF(_xlpm.timeval&gt;=60, 1, 0),
IF(AND(MIN(_xlpm.rnge1)=0,MIN(_xlpm.rnge2)=0,MIN(_xlpm.rnge3)=0),Data_Constants!D65,
IF(AND(MIN(_xlpm.rnge2)=0,OR(MIN(_xlpm.rnge1)=1,MIN(_xlpm.rnge3)=1)  ),Data_Constants!C65,
IF(AND(MIN(_xlpm.rnge2)=1, MIN(_xlpm.rnge4)=1),Data_Constants!C43, Data_Constants!D43))))</f>
        <v/>
      </c>
      <c r="F17" s="136">
        <f>IF(OR(E17=Data_Constants!D43,E17=Data_Constants!D65), FALSE, TRUE)</f>
        <v/>
      </c>
      <c r="I17" s="142">
        <f>IF(AND(F3:F22, K3:K4), Data_Constants!C51,Data_Constants!D51)</f>
        <v/>
      </c>
    </row>
    <row r="18" ht="54" customHeight="1">
      <c r="B18" s="136" t="n">
        <v>16</v>
      </c>
      <c r="C18" s="147" t="inlineStr">
        <is>
          <t>Response Times - Reports – Requirements</t>
        </is>
      </c>
      <c r="D18" s="135">
        <f>Data_Constants!C122</f>
        <v/>
      </c>
      <c r="E18" s="136">
        <f t="array" ref="E18">_xlfn.LET(
_xlpm.minindex1, MATCH(Data_Constants!C11, $AJ$2:$AJ$300,0)+3,
_xlpm.fullcolumnrnge1, INDIRECT(CONCATENATE("AJ",_xlpm.minindex1,":AJ300")),
_xlpm.maxindex1, MIN(IF(_xlpm.fullcolumnrnge1="",ROW(_xlpm.fullcolumnrnge1)))-1,
_xlpm.addminx1, INDIRECT(CONCATENATE("AJ", _xlpm.minindex1,":AP", _xlpm.maxindex1)),
_xlpm.minindex2, MATCH(Data_Constants!C13, $AW$2:$AW$300,0)+3,
_xlpm.fullcolumnrnge2, INDIRECT(CONCATENATE("AW",_xlpm.minindex2,":AW300")),
_xlpm.maxindex2, MIN(IF(_xlpm.fullcolumnrnge2="",ROW(_xlpm.fullcolumnrnge2)))-1,
_xlpm.addminx2, INDIRECT(CONCATENATE("AW", _xlpm.minindex2,":BD", _xlpm.maxindex2)),
_xlpm.minindex3, MATCH(Data_Constants!C15, $BJ$2:$BJ$300,0)+3,
_xlpm.fullcolumnrnge3, INDIRECT(CONCATENATE("BJ",_xlpm.minindex3,":BJ300")),
_xlpm.maxindex3, MIN(IF(_xlpm.fullcolumnrnge3="",ROW(_xlpm.fullcolumnrnge3)))-1,
_xlpm.reporttypeColumnrnge, INDIRECT(CONCATENATE("BL",_xlpm.minindex3,":BL",_xlpm.maxindex3)),
_xlpm.addminx3, INDIRECT(CONCATENATE("BJ", _xlpm.minindex3,":BN", _xlpm.maxindex3)),
_xlpm.rnge1, IF(OR(ISBLANK(_xlpm.addminx1),(_xlfn.CHOOSECOLS(_xlpm.addminx1,1,2,5,6,7))="NA"),0,1),
_xlpm.rnge2, IF(OR(ISBLANK(_xlpm.addminx2),(_xlpm.addminx2)="NA"),0,1),
_xlpm.rnge3, IF(OR(ISBLANK(_xlpm.addminx3),(_xlpm.addminx3)="NA"),0,1),
_xlpm.rnge4, IF(COUNTIF(Data_Constants!$H$17:$H$18,_xlpm.reporttypeColumnrnge)=1, 1, 0),
IF(AND(MIN(_xlpm.rnge1)=0,MIN(_xlpm.rnge2)=0,MIN(_xlpm.rnge3)=0),Data_Constants!D56,
IF(AND(MIN(_xlpm.rnge3)=0,OR(MIN(_xlpm.rnge1)=1,MIN(_xlpm.rnge2)=1)  ),Data_Constants!C56,
IF(AND(MIN(_xlpm.rnge3)=1, MIN(_xlpm.rnge4)=1),Data_Constants!C44, Data_Constants!D44))))</f>
        <v/>
      </c>
      <c r="F18" s="136">
        <f>IF(OR(E18=Data_Constants!D44,E18=Data_Constants!D56), FALSE, TRUE)</f>
        <v/>
      </c>
    </row>
    <row r="19" ht="76.5" customHeight="1">
      <c r="B19" s="136" t="n">
        <v>17</v>
      </c>
      <c r="C19" s="148" t="inlineStr">
        <is>
          <t>Response Times - Data – Requirements</t>
        </is>
      </c>
      <c r="D19" s="135">
        <f>Data_Constants!C123</f>
        <v/>
      </c>
      <c r="E19" s="136">
        <f t="array" ref="E19">_xlfn.LET(
_xlpm.minindex, MATCH(Data_Constants!C17, $BY$2:$BY$300,0)+3,
_xlpm.fullcolumnrnge, INDIRECT(CONCATENATE("BY",_xlpm.minindex,":BY300")),
_xlpm.maxindex, MIN(IF(_xlpm.fullcolumnrnge="",ROW(_xlpm.fullcolumnrnge)))-1,
_xlpm.addminx, INDIRECT(CONCATENATE("BY", _xlpm.minindex,":CG", _xlpm.maxindex)),
_xlpm.estrecordsColumnrnge, INDIRECT(CONCATENATE("CB",_xlpm.minindex,":CB",_xlpm.maxindex)),
_xlpm.tablesizeColumnrnge, INDIRECT(CONCATENATE("CC",_xlpm.minindex,":CC",_xlpm.maxindex)),
_xlpm.tablesizeulimitColumnrnge, INDIRECT(CONCATENATE("CD",_xlpm.minindex,":CD",_xlpm.maxindex)),
_xlpm.tablenamesrnge, INDIRECT(CONCATENATE("CA",_xlpm.minindex,":CA",_xlpm.maxindex)),
_xlpm.remarksrnge, INDIRECT(CONCATENATE("CH",_xlpm.minindex,":CH",_xlpm.maxindex)),
_xlpm.minindex1, MATCH(Data_Constants!C5, $DE$1:$DE$300,0)+1,
_xlpm.fullcolumnrnge1, INDIRECT(CONCATENATE("DE",_xlpm.minindex1,":DE300")),
_xlpm.maxindex1, MIN(IF(_xlpm.fullcolumnrnge1="",ROW(_xlpm.fullcolumnrnge1)))-1,
_xlpm.t_deploymentdb, INDIRECT(CONCATENATE("DG",_xlpm.minindex1,":DG",_xlpm.maxindex1)),
_xlpm.deploymentdb, IF(DE52=0, 0, _xlpm.t_deploymentdb),
_xlpm.rnge1, IF(OR(DE52=0, INDEX(_xlpm.deploymentdb, 1, 1)=0), 0,1),
_xlpm.rnge2, IF(ISBLANK(_xlpm.addminx),0,1),
_xlpm.range3, IF(ISERROR(SEARCH(",",_xlpm.tablenamesrnge)),0,1),
_xlpm.rnge4, IF(_xlpm.estrecordsColumnrnge&lt;100, IF(LEN(_xlpm.remarksrnge)&gt;=10, 1,0),1),
_xlpm.evalRnge, IF(NOT(_xlfn.VALUETOTEXT(_xlpm.estrecordsColumnrnge)&lt;&gt;""),2, IF(NOT(_xlfn.VALUETOTEXT(_xlpm.estrecordsColumnrnge)&lt;&gt;"0"), 2, IF(NOT(ISNUMBER(_xlpm.tablesizeColumnrnge)), 3, IF(NOT(_xlfn.VALUETOTEXT(_xlpm.tablesizeColumnrnge)&lt;&gt;"0"), 3, IF(NOT(ISNUMBER(_xlpm.tablesizeulimitColumnrnge)), 4, IF(VALUE(_xlpm.tablesizeulimitColumnrnge)&lt;VALUE(_xlpm.tablesizeColumnrnge), 5,
IF(VALUE(_xlpm.estrecordsColumnrnge)&lt;Data_Constants!N9,6,
IF(OR(COUNTIF(_xlpm.tablenamesrnge,_xlpm.tablenamesrnge)&gt;1) = TRUE,7,8)))))))),
IF(AND(MIN(_xlpm.rnge1)=0, MIN(_xlpm.rnge2)=0), Data_Constants!C45,
IF(AND(MIN(_xlpm.rnge1)=0, MIN(_xlpm.rnge2)=1), Data_Constants!K45,
IF(AND(MIN(_xlpm.rnge1)=1, MIN(_xlpm.rnge2)=0), Data_Constants!D45,
IF(AND(MIN(_xlpm.rnge1)=1, MAX(_xlpm.range3)=1), Data_Constants!D88,
IF(AND(MIN(_xlpm.rnge1)=0, MIN(_xlpm.evalRnge)=1), Data_Constants!D74,
IF(AND(MIN(_xlpm.rnge1)=1,MIN(_xlpm.evalRnge)=2), Data_Constants!E45,
IF(AND(MIN(_xlpm.rnge1)=1,MIN(_xlpm.evalRnge)=3), Data_Constants!F45,
IF(AND(MIN(_xlpm.rnge1)=1,MIN(_xlpm.evalRnge)=4), Data_Constants!G45,
IF(AND(MIN(_xlpm.rnge1)=1,MIN(_xlpm.evalRnge)=5), Data_Constants!H45,
IF(AND(MIN(_xlpm.rnge1)=1, MIN(_xlpm.rnge4)=1), Data_Constants!C45,
IF(AND(MIN(_xlpm.rnge1)=1,MIN(_xlpm.evalRnge)=6), Data_Constants!I45,
IF(AND(MIN(_xlpm.rnge1)=1,MIN(_xlpm.evalRnge)=7), Data_Constants!J45,
Data_Constants!C45)))))))))))))</f>
        <v/>
      </c>
      <c r="F19" s="136">
        <f>IF(OR(E19=Data_Constants!D45,E19=Data_Constants!E45,E19=Data_Constants!F45,E19=Data_Constants!G45,E19=Data_Constants!H45,E19=Data_Constants!I45,E19=Data_Constants!J45,E19=Data_Constants!K45,E19=Data_Constants!D74,E19=Data_Constants!D88), FALSE, TRUE)</f>
        <v/>
      </c>
      <c r="K19" s="136">
        <f t="array" ref="K19">_xlfn.LET(
_xlpm.minindex, MATCH(Data_Constants!C17, $BY$2:$BY$300,0)+3,
_xlpm.fullcolumnrnge, INDIRECT(CONCATENATE("BY",_xlpm.minindex,":BY300")),
_xlpm.maxindex, MIN(IF(_xlpm.fullcolumnrnge="",ROW(_xlpm.fullcolumnrnge)))-1,
_xlpm.addminx, INDIRECT(CONCATENATE("BY", _xlpm.minindex,":CG", _xlpm.maxindex)),
_xlpm.estrecordsColumnrnge, INDIRECT(CONCATENATE("CB",_xlpm.minindex,":CB",_xlpm.maxindex)),
_xlpm.tablesizeColumnrnge, INDIRECT(CONCATENATE("CC",_xlpm.minindex,":CC",_xlpm.maxindex)),
_xlpm.tablesizeulimitColumnrnge, INDIRECT(CONCATENATE("CD",_xlpm.minindex,":CD",_xlpm.maxindex)),
_xlpm.tablenamesrnge, INDIRECT(CONCATENATE("CA",_xlpm.minindex,":CA",_xlpm.maxindex)),
_xlpm.minindex1, MATCH(Data_Constants!C5, $DE$1:$DE$300,0)+1,
_xlpm.fullcolumnrnge1, INDIRECT(CONCATENATE("DE",_xlpm.minindex1,":DE300")),
_xlpm.maxindex1, MIN(IF(_xlpm.fullcolumnrnge1="",ROW(_xlpm.fullcolumnrnge1)))-1,
_xlpm.t_deploymentdb, INDIRECT(CONCATENATE("DG",_xlpm.minindex1,":DG",_xlpm.maxindex1)),
_xlpm.deploymentdb, IF(DE52=0, 0, _xlpm.t_deploymentdb),
_xlpm.rnge1, IF(OR(DE52=0, INDEX(_xlpm.deploymentdb, 1, 1)=0), 0,1),
_xlpm.rnge2, IF(ISBLANK(_xlpm.addminx),0,1),
_xlpm.evalRnge, IF(NOT(_xlfn.VALUETOTEXT(_xlpm.estrecordsColumnrnge)&lt;&gt;""),0, IF(NOT(_xlfn.VALUETOTEXT(_xlpm.estrecordsColumnrnge)&lt;&gt;"0"), 0, IF(NOT(ISNUMBER(_xlpm.tablesizeColumnrnge)), 0, IF(NOT(ISNUMBER(_xlpm.tablesizeulimitColumnrnge)), 0, IF(VALUE(_xlpm.tablesizeulimitColumnrnge)&lt;VALUE(_xlpm.tablesizeColumnrnge), 0,
IF(VALUE(_xlpm.estrecordsColumnrnge)&lt;Data_Constants!N9,0,
IF(OR(COUNTIF(_xlpm.tablenamesrnge,_xlpm.tablenamesrnge)&gt;1) = TRUE,0,1))))))),
IF(AND(MIN(_xlpm.rnge1)=0, MIN(_xlpm.rnge2)=0), Data_Constants!C45,
IF(AND(MIN(_xlpm.rnge1)=0, MIN(_xlpm.evalRnge)=1), Data_Constants!D74,
IF(AND(MIN(_xlpm.rnge1)=1,MIN(_xlpm.evalRnge)=0), Data_Constants!D45, Data_Constants!C45))))</f>
        <v/>
      </c>
    </row>
    <row r="20" ht="51" customHeight="1">
      <c r="B20" s="136" t="n">
        <v>18</v>
      </c>
      <c r="C20" s="149" t="inlineStr">
        <is>
          <t>Data Management – Requirements</t>
        </is>
      </c>
      <c r="D20" s="135">
        <f>Data_Constants!C124</f>
        <v/>
      </c>
      <c r="E20" s="136">
        <f t="array" ref="E20">_xlfn.LET(
_xlpm.minindex, MATCH(Data_Constants!C19, $CJ$2:$CJ$300,0)+3,
_xlpm.fullcolumnrnge, INDIRECT(CONCATENATE("CJ",_xlpm.minindex,":CJ300")),
_xlpm.maxindex,MIN(IF(_xlpm.fullcolumnrnge="",ROW(_xlpm.fullcolumnrnge)))-1,
_xlpm.categoryColumnrnge, INDIRECT(CONCATENATE("CJ",_xlpm.minindex,":CJ",_xlpm.maxindex)),
_xlpm.dmreqColumnrnge, INDIRECT(CONCATENATE("CL",_xlpm.minindex,":CL",_xlpm.maxindex)),
_xlpm.minindex1, MATCH(Data_Constants!C3, $CV$1:$CV$300,0)+1,
_xlpm.fullcolumnrnge1, INDIRECT(CONCATENATE("CV",_xlpm.minindex1,":CV300")),
_xlpm.maxindex1, MIN(IF(_xlpm.fullcolumnrnge1="",ROW(_xlpm.fullcolumnrnge1)))-1,
_xlpm.t_deploymentdb, INDIRECT(CONCATENATE("CW",_xlpm.minindex1,":CW",_xlpm.maxindex1)),
_xlpm.deploymentdb, IF(CV52=0, 0, _xlpm.t_deploymentdb),
_xlpm.rnge1, IF(OR(CV52=0, INDEX(_xlpm.deploymentdb, 1, 1)="NA"), 0,1),
_xlpm.rnge2, IF(_xlpm.dmreqColumnrnge=0, 0,1),
IF(AND(MIN(_xlpm.rnge1)=0,MAX(_xlpm.rnge2)=0), Data_Constants!D46,
IF(AND(MIN(_xlpm.rnge1)=0,MAX(_xlpm.rnge2)=1), Data_Constants!C46,
IF(AND(MIN(_xlpm.rnge1)=1,MIN(_xlpm.rnge2)=1), Data_Constants!C46, Data_Constants!D46))))</f>
        <v/>
      </c>
      <c r="F20" s="136">
        <f>IF(OR(E20=Data_Constants!D46,E20=Data_Constants!D73), FALSE, TRUE)</f>
        <v/>
      </c>
    </row>
    <row r="21" ht="25.5" customHeight="1">
      <c r="B21" s="136" t="n">
        <v>19</v>
      </c>
      <c r="C21" s="150" t="inlineStr">
        <is>
          <t>Resource Utilization – Requirements</t>
        </is>
      </c>
      <c r="D21" s="135">
        <f>Data_Constants!C125</f>
        <v/>
      </c>
      <c r="E21" s="136">
        <f t="array" ref="E21">_xlfn.LET(
_xlpm.minindex, MATCH(Data_Constants!C21, $CP$2:$CP$300,0)+3,
_xlpm.fullcolumnrnge, INDIRECT(CONCATENATE("CP",_xlpm.minindex,":CP300")),
_xlpm.maxindex,
MIN(IF(_xlpm.fullcolumnrnge="",ROW(_xlpm.fullcolumnrnge)))-1,
_xlpm.rucategoryColumnrnge, INDIRECT(CONCATENATE("CP",_xlpm.minindex,":CP",_xlpm.maxindex)),
_xlpm.rureqColumnrnge, INDIRECT(CONCATENATE("CR",_xlpm.minindex,":CR",_xlpm.maxindex)),
_xlpm.cpuresutilIndx, MATCH(Data_Constants!H21, _xlpm.rucategoryColumnrnge,0),
_xlpm.cpuresutilValue, INDEX(_xlpm.rureqColumnrnge, _xlpm.cpuresutilIndx),
_xlpm.rnge1, IF(OR(ISTEXT(_xlpm.cpuresutilValue), _xlpm.cpuresutilValue=0), 0,1),
_xlpm.rnge2, IF(VALUE(_xlpm.cpuresutilValue)&lt;=Data_Constants!I21, 1,0), IF(MIN(_xlpm.rnge1)=0,Data_Constants!D66, IF(MIN(_xlpm.rnge1)=1, IF(MIN(_xlpm.rnge2)=1, Data_Constants!C47, Data_Constants!D47))))</f>
        <v/>
      </c>
      <c r="F21" s="136">
        <f>IF(OR(E21=Data_Constants!D47,E21=Data_Constants!D66), FALSE, TRUE)</f>
        <v/>
      </c>
    </row>
    <row r="22" ht="25.5" customHeight="1">
      <c r="B22" s="136" t="n">
        <v>20</v>
      </c>
      <c r="C22" s="150" t="inlineStr">
        <is>
          <t>Resource Utilization – Requirements</t>
        </is>
      </c>
      <c r="D22" s="135">
        <f>Data_Constants!C126</f>
        <v/>
      </c>
      <c r="E22" s="136">
        <f t="array" ref="E22">_xlfn.LET(
_xlpm.minindex, MATCH(Data_Constants!C21, $CP$2:$CP$300,0)+3,
_xlpm.fullcolumnrnge, INDIRECT(CONCATENATE("CP",_xlpm.minindex,":CP300")),
_xlpm.maxindex,
MIN(IF(_xlpm.fullcolumnrnge="",ROW(_xlpm.fullcolumnrnge)))-1,
_xlpm.rucategoryColumnrnge, INDIRECT(CONCATENATE("CP",_xlpm.minindex,":CP",_xlpm.maxindex)),
_xlpm.rureqColumnrnge, INDIRECT(CONCATENATE("CR",_xlpm.minindex,":CR",_xlpm.maxindex)),
_xlpm.cpuresutilIndx, MATCH(Data_Constants!H22, _xlpm.rucategoryColumnrnge,0),
_xlpm.cpuresutilValue, INDEX(_xlpm.rureqColumnrnge, _xlpm.cpuresutilIndx),
_xlpm.rnge1, IF(OR(ISTEXT(_xlpm.cpuresutilValue),_xlpm.cpuresutilValue=0), 0,1),
_xlpm.rnge2, IF(VALUE(_xlpm.cpuresutilValue)&lt;=Data_Constants!I22, 1,0), IF(MIN(_xlpm.rnge1)=0, Data_Constants!D67, IF(MIN(_xlpm.rnge1)=1, IF(MIN(_xlpm.rnge2)=1, Data_Constants!C48, Data_Constants!D48))))</f>
        <v/>
      </c>
      <c r="F22" s="136">
        <f>IF(OR(E22=Data_Constants!D48,E22=Data_Constants!D67), FALSE, TRUE)</f>
        <v/>
      </c>
    </row>
    <row r="23" ht="38.25" customHeight="1">
      <c r="B23" s="136" t="n">
        <v>21</v>
      </c>
      <c r="C23" s="151" t="inlineStr">
        <is>
          <t>Response Times - Batch Jobs – Requirements</t>
        </is>
      </c>
      <c r="D23" s="135">
        <f>Data_Constants!C115</f>
        <v/>
      </c>
      <c r="E23" s="136">
        <f t="array" ref="E23">_xlfn.LET(
_xlpm.minindex1, MATCH(Data_Constants!C11, $AJ$2:$AJ$300,0)+3,
_xlpm.fullcolumnrnge1, INDIRECT(CONCATENATE("AJ",_xlpm.minindex1,":AJ300")),
_xlpm.maxindex1, MIN(IF(_xlpm.fullcolumnrnge1="",ROW(_xlpm.fullcolumnrnge1)))-1,
_xlpm.addminx1, INDIRECT(CONCATENATE("AJ", _xlpm.minindex1,":AP", _xlpm.maxindex1)),
_xlpm.minindex3, MATCH(Data_Constants!C15, $BJ$2:$BJ$300,0)+3,
_xlpm.fullcolumnrnge3, INDIRECT(CONCATENATE("BJ",_xlpm.minindex3,":BJ300")),
_xlpm.maxindex3, MIN(IF(_xlpm.fullcolumnrnge3="",ROW(_xlpm.fullcolumnrnge3)))-1,
_xlpm.addminx3, INDIRECT(CONCATENATE("BJ", _xlpm.minindex3,":BN", _xlpm.maxindex3)),
_xlpm.minindex2, MATCH(Data_Constants!C13, $AW$2:$AW$300,0)+3,
_xlpm.fullcolumnrnge2, INDIRECT(CONCATENATE("AW",_xlpm.minindex2,":AW300")),
_xlpm.maxindex2, MIN(IF(_xlpm.fullcolumnrnge2="",ROW(_xlpm.fullcolumnrnge2)))-1,
_xlpm.addminx2, INDIRECT(CONCATENATE("AW", _xlpm.minindex2,":BD", _xlpm.maxindex2)),
_xlpm.slaColumnrnge, INDIRECT(CONCATENATE("AZ",_xlpm.minindex2,":AZ",_xlpm.maxindex2)),
_xlpm.rnge1, IF(OR(ISBLANK(_xlpm.addminx1),(_xlfn.CHOOSECOLS(_xlpm.addminx1,1,2,5,6,7))="NA"),0,1),
_xlpm.rnge3, IF(OR(ISBLANK(_xlpm.addminx3),(_xlpm.addminx3)="NA"),0,1),
_xlpm.rnge2, IF(OR(ISBLANK(_xlpm.addminx2),(_xlpm.addminx2)="NA"),0,1),
IF(AND(MIN(_xlpm.rnge1)=0,MIN(_xlpm.rnge2)=0,MIN(_xlpm.rnge3)=0),Data_Constants!D65,
IF(AND(MIN(_xlpm.rnge2)=0,OR(MIN(_xlpm.rnge1)=1,MIN(_xlpm.rnge3)=1)  ),Data_Constants!C65,
IF(AND(MIN(_xlpm.rnge2)=1,_xlpm.slaColumnrnge&lt;&gt;0),Data_Constants!C58, Data_Constants!D58))))</f>
        <v/>
      </c>
      <c r="F23" s="136">
        <f>IF(OR(E23=Data_Constants!D58,E23=Data_Constants!D65), FALSE, TRUE)</f>
        <v/>
      </c>
    </row>
    <row r="24" ht="38.25" customHeight="1">
      <c r="B24" s="136" t="n">
        <v>22</v>
      </c>
      <c r="C24" s="151" t="inlineStr">
        <is>
          <t>Response Times - Batch Jobs – Requirements</t>
        </is>
      </c>
      <c r="D24" s="135">
        <f>Data_Constants!C116</f>
        <v/>
      </c>
      <c r="E24" s="136">
        <f t="array" ref="E24">_xlfn.LET(
_xlpm.minindex1, MATCH(Data_Constants!C11, $AJ$2:$AJ$300,0)+3,
_xlpm.fullcolumnrnge1, INDIRECT(CONCATENATE("AJ",_xlpm.minindex1,":AJ300")),
_xlpm.maxindex1, MIN(IF(_xlpm.fullcolumnrnge1="",ROW(_xlpm.fullcolumnrnge1)))-1,
_xlpm.addminx1, INDIRECT(CONCATENATE("AJ", _xlpm.minindex1,":AP", _xlpm.maxindex1)),
_xlpm.minindex3, MATCH(Data_Constants!C15, $BJ$2:$BJ$300,0)+3,
_xlpm.fullcolumnrnge3, INDIRECT(CONCATENATE("BJ",_xlpm.minindex3,":BJ300")),
_xlpm.maxindex3, MIN(IF(_xlpm.fullcolumnrnge3="",ROW(_xlpm.fullcolumnrnge3)))-1,
_xlpm.addminx3, INDIRECT(CONCATENATE("BJ", _xlpm.minindex3,":BN", _xlpm.maxindex3)),
_xlpm.minindex2, MATCH(Data_Constants!C13, $AW$2:$AW$300,0)+3,
_xlpm.fullcolumnrnge2, INDIRECT(CONCATENATE("AW",_xlpm.minindex2,":AW300")),
_xlpm.maxindex2, MIN(IF(_xlpm.fullcolumnrnge2="",ROW(_xlpm.fullcolumnrnge2)))-1,
_xlpm.addminx2, INDIRECT(CONCATENATE("AW", _xlpm.minindex2,":BD", _xlpm.maxindex2)),
_xlpm.uslaColumnrnge, INDIRECT(CONCATENATE("BA",_xlpm.minindex2,":BA",_xlpm.maxindex2)),
_xlpm.rnge1, IF(OR(ISBLANK(_xlpm.addminx1),(_xlfn.CHOOSECOLS(_xlpm.addminx1,1,2,5,6,7))="NA"),0,1),
_xlpm.rnge3, IF(OR(ISBLANK(_xlpm.addminx3),(_xlpm.addminx3)="NA"),0,1),
_xlpm.rnge2, IF(OR(ISBLANK(_xlpm.addminx2),(_xlpm.addminx2)="NA"),0,1),
IF(AND(MIN(_xlpm.rnge1)=0,MIN(_xlpm.rnge2)=0,MIN(_xlpm.rnge3)=0),Data_Constants!D65,
IF(AND(MIN(_xlpm.rnge2)=0,OR(MIN(_xlpm.rnge1)=1,MIN(_xlpm.rnge3)=1)  ),Data_Constants!C65,
IF(AND(MIN(_xlpm.rnge2)=1,_xlpm.uslaColumnrnge&lt;&gt;0),Data_Constants!C59, Data_Constants!D59))))</f>
        <v/>
      </c>
      <c r="F24" s="136">
        <f>IF(OR(E24=Data_Constants!D59,E24=Data_Constants!D65), FALSE, TRUE)</f>
        <v/>
      </c>
    </row>
    <row r="25" ht="57.75" customHeight="1">
      <c r="B25" s="136" t="n">
        <v>23</v>
      </c>
      <c r="C25" s="151" t="inlineStr">
        <is>
          <t>Response Times - Batch Jobs – Requirements</t>
        </is>
      </c>
      <c r="D25" s="135">
        <f>Data_Constants!C117</f>
        <v/>
      </c>
      <c r="E25" s="136">
        <f t="array" ref="E25">_xlfn.LET(
_xlpm.minindex1, MATCH(Data_Constants!C11, $AJ$2:$AJ$300,0)+3,
_xlpm.fullcolumnrnge1, INDIRECT(CONCATENATE("AJ",_xlpm.minindex1,":AJ300")),
_xlpm.maxindex1, MIN(IF(_xlpm.fullcolumnrnge1="",ROW(_xlpm.fullcolumnrnge1)))-1,
_xlpm.addminx1, INDIRECT(CONCATENATE("AJ", _xlpm.minindex1,":AP", _xlpm.maxindex1)),
_xlpm.minindex3, MATCH(Data_Constants!C15, $BJ$2:$BJ$300,0)+3,
_xlpm.fullcolumnrnge3, INDIRECT(CONCATENATE("BJ",_xlpm.minindex3,":BJ300")),
_xlpm.maxindex3, MIN(IF(_xlpm.fullcolumnrnge3="",ROW(_xlpm.fullcolumnrnge3)))-1,
_xlpm.addminx3, INDIRECT(CONCATENATE("BJ", _xlpm.minindex3,":BN", _xlpm.maxindex3)),
_xlpm.minindex2, MATCH(Data_Constants!C13, $AW$2:$AW$300,0)+3,
_xlpm.fullcolumnrnge2, INDIRECT(CONCATENATE("AW",_xlpm.minindex2,":AW300")),
_xlpm.maxindex2, MIN(IF(_xlpm.fullcolumnrnge2="",ROW(_xlpm.fullcolumnrnge2)))-1,
_xlpm.addminx2, INDIRECT(CONCATENATE("AW", _xlpm.minindex2,":BD", _xlpm.maxindex2)),
_xlpm.slaColumnrnge, INDIRECT(CONCATENATE("AZ",_xlpm.minindex2,":AZ",_xlpm.maxindex2)),
_xlpm.uslaColumnrnge, INDIRECT(CONCATENATE("BA",_xlpm.minindex2,":BA",_xlpm.maxindex2)),
_xlpm.rnge1, IF(OR(ISBLANK(_xlpm.addminx1),(_xlfn.CHOOSECOLS(_xlpm.addminx1,1,2,5,6,7))="NA"),0,1),
_xlpm.rnge3, IF(OR(ISBLANK(_xlpm.addminx3),(_xlpm.addminx3)="NA"),0,1),
_xlpm.rnge2, IF(OR(ISBLANK(_xlpm.addminx2),(_xlpm.addminx2)="NA"),0,1),
IF(AND(MIN(_xlpm.rnge1)=0,MIN(_xlpm.rnge2)=0,MIN(_xlpm.rnge3)=0),Data_Constants!D65,
IF(AND(MIN(_xlpm.rnge2)=0,OR(MIN(_xlpm.rnge1)=1,MIN(_xlpm.rnge3)=1)  ),Data_Constants!C65,
IF(MIN(_xlpm.rnge2)=1, IF(AND(_xlpm.uslaColumnrnge&lt;=_xlpm.slaColumnrnge*1.6, _xlpm.uslaColumnrnge&gt;=_xlpm.slaColumnrnge), Data_Constants!C60, Data_Constants!D60)))))</f>
        <v/>
      </c>
      <c r="F25" s="136">
        <f>IF(OR(E25=Data_Constants!D60,E25=Data_Constants!D65), FALSE, TRUE)</f>
        <v/>
      </c>
    </row>
    <row r="27">
      <c r="E27" s="135" t="n"/>
    </row>
    <row r="31" ht="38.25" customHeight="1">
      <c r="B31" s="136" t="n">
        <v>24</v>
      </c>
      <c r="C31" s="152" t="inlineStr">
        <is>
          <t>Response Times - Reports – Requirements</t>
        </is>
      </c>
      <c r="D31" s="135">
        <f>Data_Constants!C119</f>
        <v/>
      </c>
      <c r="E31" s="136">
        <f t="array" ref="E31">_xlfn.LET(
_xlpm.minindex1, MATCH(Data_Constants!C11, $AJ$2:$AJ$300,0)+3,
_xlpm.fullcolumnrnge1, INDIRECT(CONCATENATE("AJ",_xlpm.minindex1,":AJ300")),
_xlpm.maxindex1, MIN(IF(_xlpm.fullcolumnrnge1="",ROW(_xlpm.fullcolumnrnge1)))-1,
_xlpm.addminx1, INDIRECT(CONCATENATE("AJ", _xlpm.minindex1,":AP", _xlpm.maxindex1)),
_xlpm.minindex2, MATCH(Data_Constants!C13, $AW$2:$AW$300,0)+3,
_xlpm.fullcolumnrnge2, INDIRECT(CONCATENATE("AW",_xlpm.minindex2,":AW300")),
_xlpm.maxindex2, MIN(IF(_xlpm.fullcolumnrnge2="",ROW(_xlpm.fullcolumnrnge2)))-1,
_xlpm.addminx2, INDIRECT(CONCATENATE("AW", _xlpm.minindex2,":BD", _xlpm.maxindex2)),
_xlpm.minindex3, MATCH(Data_Constants!C15, $BJ$2:$BJ$300,0)+3,
_xlpm.fullcolumnrnge3, INDIRECT(CONCATENATE("BJ",_xlpm.minindex3,":BJ300")),
_xlpm.maxindex3, MIN(IF(_xlpm.fullcolumnrnge3="",ROW(_xlpm.fullcolumnrnge3)))-1,
_xlpm.addminx3, INDIRECT(CONCATENATE("BJ", _xlpm.minindex3,":BN", _xlpm.maxindex3)),
_xlpm.slaColumnrnge, INDIRECT(CONCATENATE("BM",_xlpm.minindex3,":BM",_xlpm.maxindex3)),
_xlpm.rnge1, IF(OR(ISBLANK(_xlpm.addminx1),(_xlfn.CHOOSECOLS(_xlpm.addminx1,1,2,5,6,7))="NA"),0,1),
_xlpm.rnge2, IF(OR(ISBLANK(_xlpm.addminx2),(_xlpm.addminx2)="NA"),0,1),
_xlpm.rnge3, IF(OR(ISBLANK(_xlpm.addminx3),(_xlpm.addminx3)="NA"),0,1),
_xlpm.rnge4, IF(ISNUMBER(_xlpm.slaColumnrnge), IF(_xlpm.slaColumnrnge=0, 0,1)),
IF(AND(MIN(_xlpm.rnge1)=0,MIN(_xlpm.rnge2)=0,MIN(_xlpm.rnge3)=0),Data_Constants!D56,
IF(AND(MIN(_xlpm.rnge3)=0,OR(MIN(_xlpm.rnge1)=1,MIN(_xlpm.rnge2)=1)  ),Data_Constants!C56,
IF(MIN(_xlpm.rnge3)=1, IF(MIN(_xlpm.rnge4)=1,Data_Constants!C61, Data_Constants!D61)))))</f>
        <v/>
      </c>
      <c r="F31" s="136">
        <f>IF(OR(E31=Data_Constants!D61,E31=Data_Constants!D56), FALSE, TRUE)</f>
        <v/>
      </c>
    </row>
    <row r="32" ht="38.25" customHeight="1">
      <c r="B32" s="136" t="n">
        <v>25</v>
      </c>
      <c r="C32" s="152" t="inlineStr">
        <is>
          <t>Response Times - Reports – Requirements</t>
        </is>
      </c>
      <c r="D32" s="135">
        <f>Data_Constants!C120</f>
        <v/>
      </c>
      <c r="E32" s="136">
        <f t="array" ref="E32">_xlfn.LET(
_xlpm.minindex1, MATCH(Data_Constants!C11, $AJ$2:$AJ$300,0)+3,
_xlpm.fullcolumnrnge1, INDIRECT(CONCATENATE("AJ",_xlpm.minindex1,":AJ300")),
_xlpm.maxindex1, MIN(IF(_xlpm.fullcolumnrnge1="",ROW(_xlpm.fullcolumnrnge1)))-1,
_xlpm.addminx1, INDIRECT(CONCATENATE("AJ", _xlpm.minindex1,":AP", _xlpm.maxindex1)),
_xlpm.minindex2, MATCH(Data_Constants!C13, $AW$2:$AW$300,0)+3,
_xlpm.fullcolumnrnge2, INDIRECT(CONCATENATE("AW",_xlpm.minindex2,":AW300")),
_xlpm.maxindex2, MIN(IF(_xlpm.fullcolumnrnge2="",ROW(_xlpm.fullcolumnrnge2)))-1,
_xlpm.addminx2, INDIRECT(CONCATENATE("AW", _xlpm.minindex2,":BD", _xlpm.maxindex2)),
_xlpm.minindex3, MATCH(Data_Constants!C15, $BJ$2:$BJ$300,0)+3,
_xlpm.fullcolumnrnge3, INDIRECT(CONCATENATE("BJ",_xlpm.minindex3,":BJ300")),
_xlpm.maxindex3, MIN(IF(_xlpm.fullcolumnrnge3="",ROW(_xlpm.fullcolumnrnge3)))-1,
_xlpm.addminx3, INDIRECT(CONCATENATE("BJ", _xlpm.minindex3,":BN", _xlpm.maxindex3)),
_xlpm.uslaColumnrnge, INDIRECT(CONCATENATE("BN",_xlpm.minindex3,":BN",_xlpm.maxindex3)),
_xlpm.rnge1, IF(OR(ISBLANK(_xlpm.addminx1),(_xlfn.CHOOSECOLS(_xlpm.addminx1,1,2,5,6,7))="NA"),0,1),
_xlpm.rnge2, IF(OR(ISBLANK(_xlpm.addminx2),(_xlpm.addminx2)="NA"),0,1),
_xlpm.rnge3, IF(OR(ISBLANK(_xlpm.addminx3),(_xlpm.addminx3)="NA"),0,1),
_xlpm.rnge4, IF(ISNUMBER(_xlpm.uslaColumnrnge), IF(_xlpm.uslaColumnrnge=0, 0,1)),
IF(AND(MIN(_xlpm.rnge1)=0,MIN(_xlpm.rnge2)=0,MIN(_xlpm.rnge3)=0),Data_Constants!D56,
IF(AND(MIN(_xlpm.rnge3)=0,OR(MIN(_xlpm.rnge1)=1,MIN(_xlpm.rnge2)=1)  ),Data_Constants!C56,
IF(MIN(_xlpm.rnge3)=1, IF(MIN(_xlpm.rnge4)=1,Data_Constants!C62, Data_Constants!D62)))))</f>
        <v/>
      </c>
      <c r="F32" s="136">
        <f>IF(OR(E32=Data_Constants!D62,E32=Data_Constants!D56), FALSE, TRUE)</f>
        <v/>
      </c>
    </row>
    <row r="33" ht="38.25" customHeight="1">
      <c r="B33" s="136" t="n">
        <v>26</v>
      </c>
      <c r="C33" s="152" t="inlineStr">
        <is>
          <t>Response Times - Reports – Requirements</t>
        </is>
      </c>
      <c r="D33" s="135">
        <f>Data_Constants!C121</f>
        <v/>
      </c>
      <c r="E33" s="136">
        <f t="array" ref="E33">_xlfn.LET(
_xlpm.minindex1, MATCH(Data_Constants!C11, $AJ$2:$AJ$300,0)+3,
_xlpm.fullcolumnrnge1, INDIRECT(CONCATENATE("AJ",_xlpm.minindex1,":AJ300")),
_xlpm.maxindex1, MIN(IF(_xlpm.fullcolumnrnge1="",ROW(_xlpm.fullcolumnrnge1)))-1,
_xlpm.addminx1, INDIRECT(CONCATENATE("AJ", _xlpm.minindex1,":AP", _xlpm.maxindex1)),
_xlpm.minindex2, MATCH(Data_Constants!C13, $AW$2:$AW$300,0)+3,
_xlpm.fullcolumnrnge2, INDIRECT(CONCATENATE("AW",_xlpm.minindex2,":AW300")),
_xlpm.maxindex2, MIN(IF(_xlpm.fullcolumnrnge2="",ROW(_xlpm.fullcolumnrnge2)))-1,
_xlpm.addminx2, INDIRECT(CONCATENATE("AW", _xlpm.minindex2,":BD", _xlpm.maxindex2)),
_xlpm.minindex3, MATCH(Data_Constants!C15, $BJ$2:$BJ$300,0)+3,
_xlpm.fullcolumnrnge3, INDIRECT(CONCATENATE("BJ",_xlpm.minindex3,":BJ300")),
_xlpm.maxindex3, MIN(IF(_xlpm.fullcolumnrnge3="",ROW(_xlpm.fullcolumnrnge3)))-1,
_xlpm.addminx3, INDIRECT(CONCATENATE("BJ", _xlpm.minindex3,":BN", _xlpm.maxindex3)),
_xlpm.slaColumnrnge, INDIRECT(CONCATENATE("BM",_xlpm.minindex3,":BM",_xlpm.maxindex3)),
_xlpm.uslaColumnrnge, INDIRECT(CONCATENATE("BN",_xlpm.minindex3,":BN",_xlpm.maxindex3)),
_xlpm.rnge1, IF(OR(ISBLANK(_xlpm.addminx1),(_xlfn.CHOOSECOLS(_xlpm.addminx1,1,2,5,6,7))="NA"),0,1),
_xlpm.rnge2, IF(OR(ISBLANK(_xlpm.addminx2),(_xlpm.addminx2)="NA"),0,1),
_xlpm.rnge3, IF(OR(ISBLANK(_xlpm.addminx3),(_xlpm.addminx3)="NA"),0,1),
_xlpm.rnge4, IF(AND(_xlpm.uslaColumnrnge&lt;=_xlpm.slaColumnrnge*1.6, _xlpm.uslaColumnrnge&gt;=_xlpm.slaColumnrnge), 1, 0),
IF(AND(MIN(_xlpm.rnge1)=0,MIN(_xlpm.rnge2)=0,MIN(_xlpm.rnge3)=0),Data_Constants!D56,
IF(AND(MIN(_xlpm.rnge3)=0,OR(MIN(_xlpm.rnge1)=1,MIN(_xlpm.rnge2)=1)  ),Data_Constants!C56,
IF(MIN(_xlpm.rnge3)=1, IF(MIN(_xlpm.rnge4)=1, Data_Constants!C63, Data_Constants!D63)))))</f>
        <v/>
      </c>
      <c r="F33" s="136">
        <f>IF(OR(E33=Data_Constants!D63,E33=Data_Constants!D56), FALSE, TRUE)</f>
        <v/>
      </c>
    </row>
    <row r="34" ht="38.25" customHeight="1">
      <c r="B34" s="396" t="n">
        <v>27</v>
      </c>
      <c r="C34" s="140" t="inlineStr">
        <is>
          <t>Deployment Requirements</t>
        </is>
      </c>
      <c r="D34" s="215">
        <f>Data_Constants!C127</f>
        <v/>
      </c>
      <c r="E34" s="136">
        <f t="array" ref="E34">_xlfn.LET(
_xlpm.minindex1, MATCH(Data_Constants!C3, $CV$1:$CV$300,0)+1,
_xlpm.fullcolumnrnge1, INDIRECT(CONCATENATE("CV",_xlpm.minindex1,":CV300")),
_xlpm.maxindex1, MIN(IF(_xlpm.fullcolumnrnge1="",ROW(_xlpm.fullcolumnrnge1)))-1,
_xlpm.minindex2, MATCH(Data_Constants!C5, $DE$1:$DE$300,0)+1,
_xlpm.fullcolumnrnge2, INDIRECT(CONCATENATE("DE",_xlpm.minindex1,":DE300")),
_xlpm.maxindex2, MIN(IF(_xlpm.fullcolumnrnge2="",ROW(_xlpm.fullcolumnrnge2)))-1,
_xlpm.t_softstackdb, INDIRECT(CONCATENATE("DG",_xlpm.minindex2,":DG",_xlpm.maxindex2)),
_xlpm.softstackdb, IF(DE52=0, 0, INDEX(_xlpm.t_softstackdb,1)),
_xlpm.t_deploymentdb, INDIRECT(CONCATENATE("CW",_xlpm.minindex1,":CW",_xlpm.maxindex1)),
_xlpm.deploymentdb, IF(CV52=0, 0, INDEX(_xlpm.t_deploymentdb,1)),
_xlpm.t_deploymentremarks, INDIRECT(CONCATENATE("CZ",_xlpm.minindex1,":CZ",_xlpm.maxindex1)),
_xlpm.deploymentremarks, IF(CV52=0, 0, INDEX(_xlpm.t_deploymentremarks,1)),
_xlpm.rnge1, IF(_xlpm.softstackdb=0,0,1),
_xlpm.rnge2, IF(_xlpm.deploymentdb=0,0,1),
_xlpm.rnge3, IF(_xlpm.deploymentremarks=0,0,1),
IF(OR(AND(_xlpm.deploymentdb="NA",_xlpm.rnge3=1,_xlpm.rnge1=1,_xlpm.deploymentremarks&lt;&gt;"NA"),
AND(_xlpm.deploymentdb="NA",OR(_xlpm.rnge3=0,_xlpm.deploymentremarks="NA"),_xlpm.rnge1=0)), Data_Constants!C70,
IF(AND(_xlpm.deploymentdb="NA",OR(_xlpm.rnge3=0,_xlpm.deploymentremarks="NA"),_xlpm.rnge1=1),Data_Constants!E69,
IF(AND(_xlpm.deploymentdb="NA",_xlpm.rnge3=1,_xlpm.deploymentremarks&lt;&gt;"NA",_xlpm.rnge1=0),Data_Constants!D72,
IF(AND(MIN(_xlpm.rnge1)=0, MIN(_xlpm.rnge2)=0), Data_Constants!D70,
IF(AND(MIN(_xlpm.rnge1)=0, MIN(_xlpm.rnge2)=1), Data_Constants!D72,
IF(AND(MIN(_xlpm.rnge1)=1, MIN(_xlpm.rnge2)=0), Data_Constants!D69,
IF(AND(MAX(_xlpm.rnge1)=1, MIN(_xlpm.rnge2)=1), Data_Constants!C70, Data_Constants!D71))))))))</f>
        <v/>
      </c>
      <c r="F34" s="396">
        <f>IF(OR(E34=Data_Constants!D69, E34=Data_Constants!D72), FALSE, TRUE)</f>
        <v/>
      </c>
    </row>
    <row r="35">
      <c r="B35" s="136" t="n">
        <v>28</v>
      </c>
      <c r="C35" s="139" t="inlineStr">
        <is>
          <t>Asset Information</t>
        </is>
      </c>
      <c r="D35" s="136">
        <f>Data_Constants!C101</f>
        <v/>
      </c>
      <c r="E35" s="136">
        <f>_xlfn.LET(
_xlpm.dotPos, IF(ISERROR(FIND(Data_Constants!I6,B52,1)), -1, FIND(Data_Constants!I6,B52,1)),
_xlpm.bracBeginPos, IF(ISERROR(FIND(Data_Constants!I3,B52,1)), -1, FIND(Data_Constants!I3,B52,1)),
_xlpm.spacePos, IF(ISERROR(FIND(Data_Constants!I5,B52,1)), -1, FIND(Data_Constants!I5,B52,1)),
_xlpm.bracEndPos, IF(ISERROR(FIND(Data_Constants!I4,B52,1)), -1, FIND(Data_Constants!I4,B52,1)),
_xlpm.versionnum, IF(_xlpm.dotPos=-1,"-1",IF(_xlpm.bracBeginPos=-1, MID(B52, _xlpm.dotPos-1, IF(ISERROR(FIND(Data_Constants!I5,B52,_xlpm.dotPos)), LEN(B52) + 1, FIND(Data_Constants!I5,B52,_xlpm.dotPos)) - _xlpm.dotPos + 1),MID(B52,_xlpm.bracBeginPos+1,_xlpm.bracEndPos-_xlpm.bracBeginPos-1))), IF(_xlfn.VALUETOTEXT(_xlpm.versionnum)="-1", Data_Constants!D29, Data_Constants!C29))</f>
        <v/>
      </c>
      <c r="F35" s="136">
        <f>IF(E35=Data_Constants!D29, FALSE, TRUE)</f>
        <v/>
      </c>
      <c r="G35" s="18" t="n"/>
    </row>
    <row r="36">
      <c r="B36" s="136" t="n">
        <v>29</v>
      </c>
      <c r="C36" s="139" t="inlineStr">
        <is>
          <t>Asset Information</t>
        </is>
      </c>
      <c r="D36" s="135">
        <f>Data_Constants!C128</f>
        <v/>
      </c>
      <c r="E36" s="136">
        <f>IF(LEN(B54)&gt;=Data_Constants!N12, Data_Constants!C76, Data_Constants!D76)</f>
        <v/>
      </c>
      <c r="F36" s="136">
        <f>IF(E36=Data_Constants!D76, FALSE, TRUE)</f>
        <v/>
      </c>
      <c r="G36" s="18" t="n"/>
    </row>
    <row r="37" ht="30.75" customHeight="1">
      <c r="B37" s="136" t="n">
        <v>30</v>
      </c>
      <c r="C37" s="140" t="inlineStr">
        <is>
          <t>Deployment Requirements</t>
        </is>
      </c>
      <c r="D37" s="136">
        <f>Data_Constants!C129</f>
        <v/>
      </c>
      <c r="E37" s="136">
        <f t="array" ref="E37">_xlfn.LET(
_xlpm.minindex1, MATCH(Data_Constants!C3, $CV$1:$CV$300,0)+1,
_xlpm.fullcolumnrnge1, INDIRECT(CONCATENATE("CV",_xlpm.minindex1,":CV300")),
_xlpm.maxindex1, MIN(IF(_xlpm.fullcolumnrnge1="",ROW(_xlpm.fullcolumnrnge1)))-1,
_xlpm.minindex2, MATCH(Data_Constants!C5, $DE$1:$DE$300,0)+1,
_xlpm.fullcolumnrnge2, INDIRECT(CONCATENATE("DE",_xlpm.minindex1,":DE300")),
_xlpm.maxindex2, MIN(IF(_xlpm.fullcolumnrnge2="",ROW(_xlpm.fullcolumnrnge2)))-1,
_xlpm.t_softstackweb, INDIRECT(CONCATENATE("DG",_xlpm.minindex2,":DG",_xlpm.maxindex2)),
_xlpm.softstackweb, IF(DE53=0, 0, INDEX(_xlpm.t_softstackweb,2)),
_xlpm.t_deploymentweb, INDIRECT(CONCATENATE("CW",_xlpm.minindex1,":CW",_xlpm.maxindex1)),
_xlpm.deploymentweb, IF(CV53=0, 0, INDEX(_xlpm.t_deploymentweb,2)),
_xlpm.t_deploymentremarks, INDIRECT(CONCATENATE("CZ",_xlpm.minindex1,":CZ",_xlpm.maxindex1)),
_xlpm.deploymentremarks, IF(CV53=0, 0, INDEX(_xlpm.t_deploymentremarks,2)),
_xlpm.rnge1, IF(_xlpm.softstackweb=0,0,1),
_xlpm.rnge2, IF(_xlpm.deploymentweb=0,0,1),
_xlpm.rnge3, IF(_xlpm.deploymentremarks=0,0,1),
IF(OR(AND(_xlpm.deploymentweb="NA",_xlpm.rnge3=1,_xlpm.rnge1=1,_xlpm.deploymentremarks&lt;&gt;"NA"),
AND(_xlpm.deploymentweb="NA",OR(_xlpm.rnge3=0,_xlpm.deploymentremarks="NA"),_xlpm.rnge1=0)), Data_Constants!C79,
IF(AND(_xlpm.deploymentweb="NA",OR(_xlpm.rnge3=0,_xlpm.deploymentremarks="NA"),_xlpm.rnge1=1),Data_Constants!E78,
IF(AND(_xlpm.deploymentweb="NA",_xlpm.rnge3=1,_xlpm.rnge1=0),Data_Constants!D77,
IF(AND(MIN(_xlpm.rnge1)=0, MIN(_xlpm.rnge2)=0), Data_Constants!D79,
IF(AND(MIN(_xlpm.rnge1)=0, MIN(_xlpm.rnge2)=1), Data_Constants!D77,
IF(AND(MIN(_xlpm.rnge1)=1, MIN(_xlpm.rnge2)=0), Data_Constants!D78,
IF(AND(MAX(_xlpm.rnge1)=1, MIN(_xlpm.rnge2)=1), Data_Constants!C79, Data_Constants!D71))))))))</f>
        <v/>
      </c>
      <c r="F37" s="136">
        <f>IF(OR(E37=Data_Constants!E78, E37=Data_Constants!D77,E37=Data_Constants!D78, E37=Data_Constants!D71), FALSE, TRUE)</f>
        <v/>
      </c>
    </row>
    <row r="38" ht="33" customHeight="1">
      <c r="B38" s="136" t="n">
        <v>31</v>
      </c>
      <c r="C38" s="140" t="inlineStr">
        <is>
          <t>Deployment Requirements</t>
        </is>
      </c>
      <c r="D38" s="136">
        <f>Data_Constants!C130</f>
        <v/>
      </c>
      <c r="E38" s="135">
        <f t="array" ref="E38">_xlfn.LET(
_xlpm.minindex1, MATCH(Data_Constants!C3, $CV$1:$CV$300,0)+1,
_xlpm.fullcolumnrnge1, INDIRECT(CONCATENATE("CV",_xlpm.minindex1,":CV300")),
_xlpm.maxindex1, MIN(IF(_xlpm.fullcolumnrnge1="",ROW(_xlpm.fullcolumnrnge1)))-1,
_xlpm.minindex2, MATCH(Data_Constants!C5, $DE$1:$DE$300,0)+1,
_xlpm.fullcolumnrnge2, INDIRECT(CONCATENATE("DE",_xlpm.minindex1,":DE300")),
_xlpm.maxindex2, MIN(IF(_xlpm.fullcolumnrnge2="",ROW(_xlpm.fullcolumnrnge2)))-1,
_xlpm.t_softstackapp, INDIRECT(CONCATENATE("DG",_xlpm.minindex2,":DG",_xlpm.maxindex2)),
_xlpm.softstackapp, IF(DE54=0, 0, INDEX(_xlpm.t_softstackapp,3)),
_xlpm.t_deploymentapp, INDIRECT(CONCATENATE("CW",_xlpm.minindex1,":CW",_xlpm.maxindex1)),
_xlpm.deploymentapp, IF(CV54=0, 0, INDEX(_xlpm.t_deploymentapp,3)),
_xlpm.t_deploymentremarks, INDIRECT(CONCATENATE("CZ",_xlpm.minindex1,":CZ",_xlpm.maxindex1)),
_xlpm.deploymentremarks, IF(CV54=0, 0, INDEX(_xlpm.t_deploymentremarks,3)),
_xlpm.rnge1, IF(_xlpm.softstackapp=0,0,1),
_xlpm.rnge2, IF(_xlpm.deploymentapp=0,0,1),
_xlpm.rnge3, IF(_xlpm.deploymentremarks=0,0,1),
IF(OR(AND(_xlpm.deploymentapp="NA",_xlpm.rnge3=1,_xlpm.rnge1=1,_xlpm.deploymentremarks&lt;&gt;"NA"),
AND(_xlpm.deploymentapp="NA",OR(_xlpm.rnge3=0,_xlpm.deploymentremarks="NA"),_xlpm.rnge1=0)), Data_Constants!C82,
IF(AND(_xlpm.deploymentapp="NA",OR(_xlpm.rnge3=0,_xlpm.deploymentremarks="NA"),_xlpm.rnge1=1),Data_Constants!E81,
IF(AND(_xlpm.deploymentapp="NA",_xlpm.rnge3=1,_xlpm.rnge1=0),Data_Constants!D80,
IF(AND(MIN(_xlpm.rnge1)=0, MIN(_xlpm.rnge2)=0), Data_Constants!D82,
IF(AND(MIN(_xlpm.rnge1)=0, MIN(_xlpm.rnge2)=1), Data_Constants!D80,IF(AND(MIN(_xlpm.rnge1)=1, MIN(_xlpm.rnge2)=0), Data_Constants!D81, IF(AND(MAX(_xlpm.rnge1)=1, MIN(_xlpm.rnge2)=1), Data_Constants!C82, Data_Constants!D71))))))))</f>
        <v/>
      </c>
      <c r="F38" s="136">
        <f>IF(OR(E38=Data_Constants!E81, E38=Data_Constants!D80,E38=Data_Constants!D81, E38=Data_Constants!D71), FALSE, TRUE)</f>
        <v/>
      </c>
      <c r="G38" s="77" t="n"/>
    </row>
    <row r="39">
      <c r="B39" s="136" t="n">
        <v>32</v>
      </c>
      <c r="C39" s="139" t="inlineStr">
        <is>
          <t>Asset Information</t>
        </is>
      </c>
      <c r="D39" s="136">
        <f>Data_Constants!C131</f>
        <v/>
      </c>
      <c r="E39" s="136">
        <f>IF(LEN(B59)&lt;&gt;Data_Constants!N13,Data_Constants!D84,IF(EXACT(LEFT(B59,5),"TIPAR"),Data_Constants!C84,Data_Constants!D84))</f>
        <v/>
      </c>
      <c r="F39" s="136">
        <f>IF(E39=Data_Constants!D84, FALSE, TRUE)</f>
        <v/>
      </c>
    </row>
    <row r="40">
      <c r="B40" s="136" t="n">
        <v>33</v>
      </c>
      <c r="C40" s="145" t="inlineStr">
        <is>
          <t>Response Times - Online Txns – Requirements</t>
        </is>
      </c>
      <c r="D40" s="136">
        <f>Data_Constants!C132</f>
        <v/>
      </c>
      <c r="E40" s="135">
        <f t="array" ref="E40">_xlfn.LET(
_xlpm.minindex1, MATCH(Data_Constants!C11, $AJ$2:$AJ$300,0)+3,
_xlpm.fullcolumnrnge1,INDIRECT(CONCATENATE("AJ",_xlpm.minindex1,":AJ300")),
_xlpm.maxindex1, MIN(IF(_xlpm.fullcolumnrnge1="",ROW(_xlpm.fullcolumnrnge1)))-1,
_xlpm.txnDesccolumnrnge, INDIRECT(CONCATENATE("AK",_xlpm.minindex1,":AK",_xlpm.maxindex1)),
_xlpm.addminx1, INDIRECT(CONCATENATE("AJ", _xlpm.minindex1,":AP", _xlpm.maxindex1)),
_xlpm.minindex2, MATCH(Data_Constants!C13, $AW$2:$AW$300,0)+3,
_xlpm.fullcolumnrnge2, INDIRECT(CONCATENATE("AW",_xlpm.minindex2,":AW300")),
_xlpm.maxindex2, MIN(IF(_xlpm.fullcolumnrnge2="",ROW(_xlpm.fullcolumnrnge2)))-1,
_xlpm.addminx2, INDIRECT(CONCATENATE("AW", _xlpm.minindex2,":BD", _xlpm.maxindex2)),
_xlpm.minindex3, MATCH(Data_Constants!C15, $BJ$2:$BJ$300,0)+3,
_xlpm.fullcolumnrnge3, INDIRECT(CONCATENATE("BJ",_xlpm.minindex3,":BJ300")),
_xlpm.maxindex3, MIN(IF(_xlpm.fullcolumnrnge3="",ROW(_xlpm.fullcolumnrnge3)))-1,
_xlpm.addminx3, INDIRECT(CONCATENATE("BJ", _xlpm.minindex3,":BN", _xlpm.maxindex3)),
_xlpm.rnge1, IF(OR(ISBLANK(_xlpm.addminx1),(_xlfn.CHOOSECOLS(_xlpm.addminx1,1,2,5,6,7))="NA"),0,1),
_xlpm.rnge2, IF(OR(ISBLANK(_xlpm.addminx2),(_xlpm.addminx2)="NA"),0,1),
_xlpm.rnge3, IF(OR(ISBLANK(_xlpm.addminx3),(_xlpm.addminx3)="NA"),0,1),
IF(AND(MIN(_xlpm.rnge1)=0,MIN(_xlpm.rnge2)=0,MIN(_xlpm.rnge3)=0),Data_Constants!D83,
IF(  AND(MIN(_xlpm.rnge1)=0,OR(MIN(_xlpm.rnge2)=1,MIN(_xlpm.rnge3)=1)  ),Data_Constants!C83,
IF(MIN(_xlpm.rnge1)=1,IF(OR(COUNTIF(_xlpm.txnDesccolumnrnge,_xlpm.txnDesccolumnrnge)&gt;1) = TRUE,Data_Constants!D85,Data_Constants!C85)))))</f>
        <v/>
      </c>
      <c r="F40" s="136">
        <f>IF(E40=Data_Constants!D85, FALSE, TRUE)</f>
        <v/>
      </c>
    </row>
    <row r="41">
      <c r="B41" s="136" t="n">
        <v>34</v>
      </c>
      <c r="C41" s="151" t="inlineStr">
        <is>
          <t xml:space="preserve">Response Times - Batch Jobs – Requirements </t>
        </is>
      </c>
      <c r="D41" s="136">
        <f>Data_Constants!C133</f>
        <v/>
      </c>
      <c r="E41" s="136">
        <f t="array" ref="E41">_xlfn.LET(
_xlpm.minindex1, MATCH(Data_Constants!C11, $AJ$2:$AJ$300,0)+3,
_xlpm.fullcolumnrnge1, INDIRECT(CONCATENATE("AJ",_xlpm.minindex1,":AJ300")),
_xlpm.maxindex1, MIN(IF(_xlpm.fullcolumnrnge1="",ROW(_xlpm.fullcolumnrnge1)))-1,
_xlpm.addminx1, INDIRECT(CONCATENATE("AJ", _xlpm.minindex1,":AP", _xlpm.maxindex1)),
_xlpm.minindex3, MATCH(Data_Constants!C15, $BJ$2:$BJ$300,0)+3,
_xlpm.fullcolumnrnge3, INDIRECT(CONCATENATE("BJ",_xlpm.minindex3,":BJ300")),
_xlpm.maxindex3, MIN(IF(_xlpm.fullcolumnrnge3="",ROW(_xlpm.fullcolumnrnge3)))-1,
_xlpm.addminx3, INDIRECT(CONCATENATE("BJ", _xlpm.minindex3,":BN", _xlpm.maxindex3)),
_xlpm.minindex2, MATCH(Data_Constants!C13, $AW$2:$AW$300,0)+3,
_xlpm.fullcolumnrnge2, INDIRECT(CONCATENATE("AW",_xlpm.minindex2,":AW300")),
_xlpm.maxindex2, MIN(IF(_xlpm.fullcolumnrnge2="",ROW(_xlpm.fullcolumnrnge2)))-1,
_xlpm.addminx2, INDIRECT(CONCATENATE("AW", _xlpm.minindex2,":BD", _xlpm.maxindex2)),
_xlpm.slaColumnrnge, INDIRECT(CONCATENATE("AZ",_xlpm.minindex2,":AZ",_xlpm.maxindex2)),
_xlpm.batchjobs, INDIRECT(CONCATENATE("AX",_xlpm.minindex2,":AX",_xlpm.maxindex2)),
_xlpm.rnge1, IF(OR(ISBLANK(_xlpm.addminx1),(_xlfn.CHOOSECOLS(_xlpm.addminx1,1,2,5,6,7))="NA"),0,1),
_xlpm.rnge3, IF(OR(ISBLANK(_xlpm.addminx3),(_xlpm.addminx3)="NA"),0,1),
_xlpm.rnge2, IF(OR(ISBLANK(_xlpm.addminx2),(_xlpm.addminx2)="NA"),0,1),
IF(AND(MIN(_xlpm.rnge1)=0,MIN(_xlpm.rnge2)=0,MIN(_xlpm.rnge3)=0),Data_Constants!D65,
IF(AND(MIN(_xlpm.rnge2)=0,OR(MIN(_xlpm.rnge1)=1,MIN(_xlpm.rnge3)=1)  ),Data_Constants!C65,
IF(MIN(_xlpm.rnge2)=1,IF(OR(COUNTIF(_xlpm.batchjobs,_xlpm.batchjobs)&gt;1) = TRUE,Data_Constants!D86,Data_Constants!C86)))))</f>
        <v/>
      </c>
      <c r="F41" s="136">
        <f>IF(E41=Data_Constants!D86, FALSE, TRUE)</f>
        <v/>
      </c>
    </row>
    <row r="42">
      <c r="B42" s="136" t="n">
        <v>35</v>
      </c>
      <c r="C42" s="152" t="inlineStr">
        <is>
          <t>Response Times - Reports – Requirements</t>
        </is>
      </c>
      <c r="D42" s="136">
        <f>Data_Constants!C134</f>
        <v/>
      </c>
      <c r="E42" s="136">
        <f t="array" ref="E42">_xlfn.LET(
_xlpm.minindex1, MATCH(Data_Constants!C11, $AJ$2:$AJ$300,0)+3,
_xlpm.fullcolumnrnge1, INDIRECT(CONCATENATE("AJ",_xlpm.minindex1,":AJ300")),
_xlpm.maxindex1, MIN(IF(_xlpm.fullcolumnrnge1="",ROW(_xlpm.fullcolumnrnge1)))-1,
_xlpm.addminx1, INDIRECT(CONCATENATE("AJ", _xlpm.minindex1,":AP", _xlpm.maxindex1)),
_xlpm.minindex2, MATCH(Data_Constants!C13, $AW$2:$AW$300,0)+3,
_xlpm.fullcolumnrnge2, INDIRECT(CONCATENATE("AW",_xlpm.minindex2,":AW300")),
_xlpm.maxindex2, MIN(IF(_xlpm.fullcolumnrnge2="",ROW(_xlpm.fullcolumnrnge2)))-1,
_xlpm.addminx2, INDIRECT(CONCATENATE("AW", _xlpm.minindex2,":BD", _xlpm.maxindex2)),
_xlpm.minindex3, MATCH(Data_Constants!C15, $BJ$2:$BJ$300,0)+3,
_xlpm.fullcolumnrnge3, INDIRECT(CONCATENATE("BJ",_xlpm.minindex3,":BJ300")),
_xlpm.maxindex3, MIN(IF(_xlpm.fullcolumnrnge3="",ROW(_xlpm.fullcolumnrnge3)))-1,
_xlpm.addminx3, INDIRECT(CONCATENATE("BJ", _xlpm.minindex3,":BN", _xlpm.maxindex3)),
_xlpm.slaColumnrnge, INDIRECT(CONCATENATE("BM",_xlpm.minindex3,":BM",_xlpm.maxindex3)),
_xlpm.reportdes, INDIRECT(CONCATENATE("BK",_xlpm.minindex3,":BK",_xlpm.maxindex3)),
_xlpm.rnge1, IF(OR(ISBLANK(_xlpm.addminx1),(_xlfn.CHOOSECOLS(_xlpm.addminx1,1,2,5,6,7))="NA"),0,1),
_xlpm.rnge2, IF(OR(ISBLANK(_xlpm.addminx2),(_xlpm.addminx2)="NA"),0,1),
_xlpm.rnge3, IF(OR(ISBLANK(_xlpm.addminx3),(_xlpm.addminx3)="NA"),0,1),
_xlpm.rnge4, IF(ISNUMBER(_xlpm.slaColumnrnge), IF(_xlpm.slaColumnrnge=0, 0,1)),
IF(AND(MIN(_xlpm.rnge1)=0,MIN(_xlpm.rnge2)=0,MIN(_xlpm.rnge3)=0),Data_Constants!D56,
IF(AND(MIN(_xlpm.rnge3)=0,OR(MIN(_xlpm.rnge1)=1,MIN(_xlpm.rnge2)=1)  ),Data_Constants!C56,
IF(MIN(_xlpm.rnge3)=1, IF(OR(COUNTIF(_xlpm.reportdes,_xlpm.reportdes)&gt;1) = TRUE,Data_Constants!D87,Data_Constants!C87)))))</f>
        <v/>
      </c>
      <c r="F42" s="136">
        <f>IF(E42=Data_Constants!D87, FALSE, TRUE)</f>
        <v/>
      </c>
    </row>
    <row r="43" ht="20.25" customHeight="1">
      <c r="B43" s="396" t="n">
        <v>36</v>
      </c>
      <c r="C43" s="253" t="inlineStr">
        <is>
          <t>Response Times - Reports – Requirements</t>
        </is>
      </c>
      <c r="D43" s="215" t="inlineStr">
        <is>
          <t>Validates the following
1. The sum of concurrent users for report transactions must be less than or equal to the sum of concurrent users at peak load anticipated for the system</t>
        </is>
      </c>
      <c r="E43" s="135">
        <f t="array" ref="E43">_xlfn.LET(
_xlpm.minindex1, MATCH(Data_Constants!C7, $V$2:$V$300,0)+3,
_xlpm.fullcolumnrnge1, INDIRECT(CONCATENATE("V",_xlpm.minindex1,":V300")),
_xlpm.maxindex1, MIN(IF(_xlpm.fullcolumnrnge1="",ROW(_xlpm.fullcolumnrnge1)))-1,
_xlpm.peakallwconusersColumnrnge, INDIRECT(CONCATENATE("X",_xlpm.minindex1,":X",_xlpm.maxindex1)),
_xlpm.minindex2, MATCH(Data_Constants!C11, $AJ$2:$AJ$300,0)+3,
_xlpm.fullcolumnrnge2, INDIRECT(CONCATENATE("AJ",_xlpm.minindex2,":AJ300")),
_xlpm.t_maxindex2, MIN(IF(_xlpm.fullcolumnrnge2="",ROW(_xlpm.fullcolumnrnge2)))-1,
_xlpm.maxindex2, IF(_xlpm.t_maxindex2 &lt; _xlpm.minindex2, _xlpm.minindex2, _xlpm.t_maxindex2),
_xlpm.addminx2, INDIRECT(CONCATENATE("AJ", _xlpm.minindex2,":AP", _xlpm.maxindex2)),
_xlpm.onlinetxnconusersColumnrnge, IF(_xlpm.t_maxindex2 &lt; _xlpm.minindex2, 0, INDIRECT(CONCATENATE("AP",_xlpm.minindex2,":AP",_xlpm.maxindex2))),
_xlpm.minindex3, MATCH(Data_Constants!C14, $BJ$2:$BJ$300,0)+3,
_xlpm.fullcolumnrnge3, INDIRECT(CONCATENATE("BJ",_xlpm.minindex3,":BJ300")),
_xlpm.t_maxindex3, MIN(IF(_xlpm.fullcolumnrnge3="",ROW(_xlpm.fullcolumnrnge3)))-1,
_xlpm.maxindex3, IF(_xlpm.t_maxindex3 &lt; _xlpm.minindex3, _xlpm.minindex3, _xlpm.t_maxindex3),
_xlpm.onlinerptconusersColumnrnge, IF(_xlpm.t_maxindex3 &lt; _xlpm.minindex3, 0, INDIRECT(CONCATENATE("BS",_xlpm.minindex3,":BS",_xlpm.maxindex3))),
_xlpm.addminx3, INDIRECT(CONCATENATE("BJ", _xlpm.minindex3,":BN", _xlpm.maxindex3)),
_xlpm.minindex4, MATCH(Data_Constants!C13, $AW$2:$AW$300,0)+3,
_xlpm.fullcolumnrnge4, INDIRECT(CONCATENATE("AW",_xlpm.minindex4,":AW300")),
_xlpm.maxindex4, MIN(IF(_xlpm.fullcolumnrnge4="",ROW(_xlpm.fullcolumnrnge4)))-1,
_xlpm.addminx4, INDIRECT(CONCATENATE("AW", _xlpm.minindex4,":BD", _xlpm.maxindex4)),
_xlpm.rnge1, IF(OR(ISBLANK(_xlpm.addminx2),(_xlfn.CHOOSECOLS(_xlpm.addminx2,1,2,5,6,7))="NA"),0,1),
_xlpm.rnge2, IF(OR(ISBLANK(_xlpm.addminx3),(_xlpm.addminx3)="NA"),0,1),
_xlpm.rnge3, IF(OR(ISBLANK(_xlpm.addminx4),(_xlpm.addminx4)="NA"),0,1),
_xlpm.rnge4, IF(AND(MIN(_xlpm.rnge1)=0,MIN(_xlpm.rnge2)=1), 0,1),
_xlpm.rnge5, IF(AND(MIN(_xlpm.rnge1)=0,MIN(_xlpm.rnge2)=0), 0,1),
IF(AND(MIN(_xlpm.rnge1)=0,MIN(_xlpm.rnge2)=0,MIN(_xlpm.rnge3)=0),Data_Constants!D56,
IF(MIN(_xlpm.rnge1)=1, "", IF(MIN(_xlpm.rnge5)=0, Data_Constants!C56,
IF(MIN(_xlpm.rnge4)=0, IF(SUM(VALUE(_xlpm.peakallwconusersColumnrnge))=SUM(_xlpm.onlinerptconusersColumnrnge), Data_Constants!C41, Data_Constants!D41))))))</f>
        <v/>
      </c>
      <c r="F43" s="136">
        <f>IF(OR(E43=Data_Constants!D41,E43=Data_Constants!D56), FALSE, TRUE)</f>
        <v/>
      </c>
    </row>
    <row r="46">
      <c r="D46" s="149" t="inlineStr">
        <is>
          <t>Check Name of the QOPD file</t>
        </is>
      </c>
      <c r="E46" s="149">
        <f t="array" ref="E46">_xlfn.LET(_xlpm.tcsUnitRaw, 'Asset Info'!B8, _xlpm.tcsUnitLeftBraceSubs, SUBSTITUTE(_xlpm.tcsUnitRaw,"(","-",1), _xlpm.tcsUnitLeftRightBraceSubs, SUBSTITUTE(_xlpm.tcsUnitLeftBraceSubs,")","",1), _xlpm.tcsUnitLeftRightBraceDotSubs, SUBSTITUTE(_xlpm.tcsUnitLeftBraceSubs,".","-",1),
_xlpm.tcsUnit_Space_L_R_BraceDotSubs, SUBSTITUTE(_xlpm.tcsUnitLeftRightBraceDotSubs," ","",1),
_xlpm.tcsUnit_Amp_S_L_R_BraceDotSubs, SUBSTITUTE(_xlpm.tcsUnit_Space_L_R_BraceDotSubs,"&amp;","_n_",1),
_xlpm.assetNameRaw, 'Asset Info'!B3, _xlpm.assetNameLeftBraceSubs, SUBSTITUTE(_xlpm.assetNameRaw,"(","-",1), _xlpm.assetNameLeftRightBraceSubs, SUBSTITUTE(_xlpm.assetNameLeftBraceSubs,")","",1), _xlpm.assetNameLeftRightBraceDotSubs, SUBSTITUTE(_xlpm.assetNameLeftBraceSubs,".","-",1),
_xlpm.assetName_Space_L_R_BraceDotSubs, SUBSTITUTE(_xlpm.assetNameLeftRightBraceDotSubs," ","",1),
_xlpm.assetName_Amp_S_L_R_BraceDotSubs, SUBSTITUTE(_xlpm.assetName_Space_L_R_BraceDotSubs,"&amp;","_n_",1),
_xlpm.versionNoRaw, 'Asset Info'!B4, _xlpm.versionNoLeftBraceSubs, SUBSTITUTE(_xlpm.versionNoRaw,"(","-",1), _xlpm.versionNoLeftRightBraceSubs, SUBSTITUTE(_xlpm.versionNoLeftBraceSubs,")","",1), _xlpm.versionNoLeftRightBraceDotSubs, SUBSTITUTE(_xlpm.versionNoLeftBraceSubs,".","-",1),
_xlpm.monthMMMM, LEFT(TEXT(TODAY(),"MMMM"),3),
_xlpm.yearYYYY, YEAR(TODAY()),
_xlpm.fileNameFinal, CONCATENATE(_xlpm.tcsUnit_Amp_S_L_R_BraceDotSubs,"_",_xlpm.assetName_Amp_S_L_R_BraceDotSubs,"_",_xlpm.versionNoLeftRightBraceDotSubs,"_Performance_QOPD_",_xlpm.monthMMMM,"_",_xlpm.yearYYYY,".xlsx"),
_xlpm.fileNameFinal)</f>
        <v/>
      </c>
    </row>
    <row r="50" ht="15.75" customHeight="1">
      <c r="A50" s="153" t="inlineStr">
        <is>
          <t>Product/ Project  Synopsis</t>
        </is>
      </c>
      <c r="H50" s="153" t="inlineStr">
        <is>
          <t>Deployment Requirements</t>
        </is>
      </c>
      <c r="O50" s="137" t="inlineStr">
        <is>
          <t>Software Stack - Information</t>
        </is>
      </c>
      <c r="V50" s="137" t="inlineStr">
        <is>
          <t>User Types – Requirements</t>
        </is>
      </c>
      <c r="AD50" s="137" t="inlineStr">
        <is>
          <t>Channels - Information</t>
        </is>
      </c>
      <c r="AJ50" s="137" t="inlineStr">
        <is>
          <t>Response Times - Online Txns – Requirements</t>
        </is>
      </c>
      <c r="AW50" s="154" t="inlineStr">
        <is>
          <t>Response Times - Batch Jobs – Requirements</t>
        </is>
      </c>
      <c r="BJ50" s="154" t="inlineStr">
        <is>
          <t>Response Times - Reports – Requirements</t>
        </is>
      </c>
      <c r="BY50" s="154" t="inlineStr">
        <is>
          <t>Response Times - Data – Requirements</t>
        </is>
      </c>
      <c r="CJ50" s="154" t="inlineStr">
        <is>
          <t>Data Management – Requirements</t>
        </is>
      </c>
      <c r="CP50" s="154" t="inlineStr">
        <is>
          <t>Resource Utilization – Requirements</t>
        </is>
      </c>
    </row>
    <row r="51" ht="140.25" customHeight="1">
      <c r="A51" s="26">
        <f t="array" ref="A51:B59">_xlfn.LET(_xlpm.fullrnge1, INDIRECT(CONCATENATE("'Asset Info'!A",Data_Constants!E23,":B", Data_Constants!E24)), _xlpm.arnge1, INDIRECT(CONCATENATE("'Asset Info'!A",Data_Constants!E23,":A", Data_Constants!E24)), _xlfn._xlws.FILTER(_xlpm.fullrnge1,(_xlpm.arnge1&lt;&gt;Data_Constants!C24)*(_xlpm.arnge1&lt;&gt;""), "No Match"))</f>
        <v/>
      </c>
      <c r="B51" s="136">
        <f/>
        <v/>
      </c>
      <c r="H51" s="26">
        <f t="array" ref="H51:L55">_xlfn.LET(_xlpm.fullrnge1, INDIRECT(CONCATENATE("Performance!B",Data_Constants!E3,":F", Data_Constants!E4)), _xlpm.brnge1, INDIRECT(CONCATENATE("Performance!B",Data_Constants!E3,":B", Data_Constants!E4)), _xlpm.crnge1, INDIRECT(CONCATENATE("Performance!C",Data_Constants!E3,":C", Data_Constants!E4)), _xlfn._xlws.FILTER(_xlpm.fullrnge1,(_xlpm.brnge1&lt;&gt;Data_Constants!C3)*(_xlpm.brnge1&lt;&gt;Data_Constants!C4)*(_xlpm.brnge1&lt;&gt;""), "No Match"))</f>
        <v/>
      </c>
      <c r="I51" s="26">
        <f/>
        <v/>
      </c>
      <c r="J51" s="26">
        <f/>
        <v/>
      </c>
      <c r="K51" s="26">
        <f/>
        <v/>
      </c>
      <c r="L51" s="26">
        <f/>
        <v/>
      </c>
      <c r="O51" s="26">
        <f t="array" ref="O51:S67">_xlfn.LET(_xlpm.fullrnge1, INDIRECT(CONCATENATE("Performance!B",Data_Constants!E5,":F", Data_Constants!E6)), _xlpm.drnge1, INDIRECT(CONCATENATE("Performance!D",Data_Constants!E5,":D", Data_Constants!E6)), _xlpm.brnge1, INDIRECT(CONCATENATE("Performance!B",Data_Constants!E5,":B", Data_Constants!E6)), _xlfn._xlws.FILTER(_xlpm.fullrnge1,(_xlpm.drnge1&lt;&gt;""), "Software Stack is improperly defined"))</f>
        <v/>
      </c>
      <c r="P51" s="26">
        <f/>
        <v/>
      </c>
      <c r="Q51" s="26">
        <f/>
        <v/>
      </c>
      <c r="R51" s="26">
        <f/>
        <v/>
      </c>
      <c r="S51" s="26">
        <f/>
        <v/>
      </c>
      <c r="V51" s="26">
        <f t="array" ref="V51:AA54">_xlfn.LET(_xlpm.fullrnge1, INDIRECT(CONCATENATE("Performance!B",Data_Constants!E7,":G", Data_Constants!E8)), _xlpm.brnge1, INDIRECT(CONCATENATE("Performance!B",Data_Constants!E7,":B", Data_Constants!E8)), _xlfn._xlws.FILTER(_xlpm.fullrnge1,(_xlpm.brnge1&lt;&gt;"")*(_xlpm.brnge1&lt;&gt;Data_Constants!C6)*(_xlpm.brnge1&lt;&gt;Data_Constants!C7)*(_xlpm.brnge1&lt;&gt;Data_Constants!C8), "User Types – Requirements is improperly defined"))</f>
        <v/>
      </c>
      <c r="W51" s="26">
        <f/>
        <v/>
      </c>
      <c r="X51" s="26">
        <f/>
        <v/>
      </c>
      <c r="Y51" s="26">
        <f/>
        <v/>
      </c>
      <c r="Z51" s="26">
        <f/>
        <v/>
      </c>
      <c r="AA51" s="26">
        <f/>
        <v/>
      </c>
      <c r="AD51" s="26">
        <f t="array" ref="AD51:AF55">_xlfn.LET(_xlpm.fullrnge1, INDIRECT(CONCATENATE("Performance!B",Data_Constants!E9,":D", Data_Constants!E10)), _xlpm.brnge1, INDIRECT(CONCATENATE("Performance!B",Data_Constants!E9,":B", Data_Constants!E10)), _xlpm.crnge1, INDIRECT(CONCATENATE("Performance!C",Data_Constants!E9,":C", Data_Constants!E10)),_xlfn._xlws.FILTER(_xlpm.fullrnge1,((_xlpm.brnge1&lt;&gt;Data_Constants!C8)*(_xlpm.brnge1&lt;&gt;Data_Constants!C9)*(_xlpm.brnge1&lt;&gt;Data_Constants!C10))*(_xlpm.crnge1&lt;&gt;"NA"), "Channels - Information is improperly defined"))</f>
        <v/>
      </c>
      <c r="AE51" s="26">
        <f/>
        <v/>
      </c>
      <c r="AF51" s="26">
        <f/>
        <v/>
      </c>
      <c r="AJ51" s="26">
        <f t="array" ref="AJ51:AT54">_xlfn.LET(_xlpm.fullrnge1, INDIRECT(CONCATENATE("Performance!B",Data_Constants!E11,":L", Data_Constants!E12)), _xlpm.brnge1, INDIRECT(CONCATENATE("Performance!B",Data_Constants!E11,":B", Data_Constants!E12)), _xlpm.mandatoryrnge1, INDIRECT(CONCATENATE("Performance!C",Data_Constants!E11,":C", Data_Constants!E12)), _xlpm.frnge1, INDIRECT(CONCATENATE("Performance!F",Data_Constants!E11,":F", Data_Constants!E12)), _xlfn._xlws.FILTER(_xlpm.fullrnge1,(_xlpm.mandatoryrnge1&lt;&gt;0)*(_xlpm.brnge1&lt;&gt;Data_Constants!C11)*(_xlpm.brnge1&lt;&gt;Data_Constants!C12), "Response Times - Online Txns – Requirements is improperly defined"))</f>
        <v/>
      </c>
      <c r="AK51" s="26">
        <f/>
        <v/>
      </c>
      <c r="AL51" s="26">
        <f/>
        <v/>
      </c>
      <c r="AM51" s="26">
        <f/>
        <v/>
      </c>
      <c r="AN51" s="26">
        <f/>
        <v/>
      </c>
      <c r="AO51" s="26">
        <f/>
        <v/>
      </c>
      <c r="AP51" s="26">
        <f/>
        <v/>
      </c>
      <c r="AQ51" s="26">
        <f/>
        <v/>
      </c>
      <c r="AR51" s="26">
        <f/>
        <v/>
      </c>
      <c r="AS51" s="26">
        <f/>
        <v/>
      </c>
      <c r="AT51" s="26">
        <f/>
        <v/>
      </c>
      <c r="AW51" s="26">
        <f t="array" ref="AW51:BG52">_xlfn.LET(_xlpm.fullrnge1, INDIRECT(CONCATENATE("Performance!B",Data_Constants!E13,":L", Data_Constants!E14)), _xlpm.brnge1, INDIRECT(CONCATENATE("Performance!B",Data_Constants!E13,":B", Data_Constants!E14)), _xlpm.mandatoryrnge1, INDIRECT(CONCATENATE("Performance!C",Data_Constants!E13,":C", Data_Constants!E14)), _xlfn._xlws.FILTER(_xlpm.fullrnge1,(_xlpm.mandatoryrnge1&lt;&gt;0)*(_xlpm.brnge1&lt;&gt;Data_Constants!C13)*(_xlpm.brnge1&lt;&gt;Data_Constants!C14), "Response Times - Batch Jobs – Requirements is improperly defined"))</f>
        <v/>
      </c>
      <c r="AX51" s="26">
        <f/>
        <v/>
      </c>
      <c r="AY51" s="26">
        <f/>
        <v/>
      </c>
      <c r="AZ51" s="26">
        <f/>
        <v/>
      </c>
      <c r="BA51" s="26">
        <f/>
        <v/>
      </c>
      <c r="BB51" s="26">
        <f/>
        <v/>
      </c>
      <c r="BC51" s="26">
        <f/>
        <v/>
      </c>
      <c r="BD51" s="26">
        <f/>
        <v/>
      </c>
      <c r="BE51" s="26">
        <f/>
        <v/>
      </c>
      <c r="BF51" s="26">
        <f/>
        <v/>
      </c>
      <c r="BG51" s="26">
        <f/>
        <v/>
      </c>
      <c r="BJ51" s="26">
        <f t="array" ref="BJ51:BV55">_xlfn.LET(_xlpm.fullrnge1, INDIRECT(CONCATENATE("Performance!B",Data_Constants!E15,":N", Data_Constants!E16)), _xlpm.brnge1, INDIRECT(CONCATENATE("Performance!B",Data_Constants!E15,":B", Data_Constants!E16)), _xlpm.mandatoryrnge1, INDIRECT(CONCATENATE("Performance!C",Data_Constants!E15,":C",Data_Constants!E16)), _xlfn._xlws.FILTER(_xlpm.fullrnge1,(_xlpm.mandatoryrnge1&lt;&gt;0)*(_xlpm.brnge1&lt;&gt;Data_Constants!C15)*(_xlpm.brnge1&lt;&gt;Data_Constants!C16), "Response Times - Reports – Requirements is improperly defined"))</f>
        <v/>
      </c>
      <c r="BK51" s="26">
        <f/>
        <v/>
      </c>
      <c r="BL51" s="26">
        <f/>
        <v/>
      </c>
      <c r="BM51" s="26">
        <f/>
        <v/>
      </c>
      <c r="BN51" s="26">
        <f/>
        <v/>
      </c>
      <c r="BO51" s="26">
        <f/>
        <v/>
      </c>
      <c r="BP51" s="26">
        <f/>
        <v/>
      </c>
      <c r="BQ51" s="26">
        <f/>
        <v/>
      </c>
      <c r="BR51" s="26">
        <f/>
        <v/>
      </c>
      <c r="BS51" s="26">
        <f/>
        <v/>
      </c>
      <c r="BT51" s="26">
        <f/>
        <v/>
      </c>
      <c r="BU51" s="155">
        <f/>
        <v/>
      </c>
      <c r="BV51" s="155">
        <f/>
        <v/>
      </c>
      <c r="BY51" s="26">
        <f t="array" ref="BY51:CH54">_xlfn.LET(_xlpm.fullrnge1, INDIRECT(CONCATENATE("Performance!B",Data_Constants!E17,":K",Data_Constants!E18)), _xlpm.brnge1, INDIRECT(CONCATENATE("Performance!B",Data_Constants!E17,":B",Data_Constants!E18)), _xlpm.mandatoryrnge1, INDIRECT(CONCATENATE("Performance!D",Data_Constants!E17,":D",Data_Constants!E18)), _xlfn._xlws.FILTER(_xlpm.fullrnge1,(_xlpm.mandatoryrnge1&lt;&gt;0)*(_xlpm.brnge1&lt;&gt;Data_Constants!C17)*(_xlpm.brnge1&lt;&gt;Data_Constants!C18),"Response Times - Data - Requirements is improperly defined"))</f>
        <v/>
      </c>
      <c r="BZ51" s="26">
        <f/>
        <v/>
      </c>
      <c r="CA51" s="26">
        <f/>
        <v/>
      </c>
      <c r="CB51" s="26">
        <f/>
        <v/>
      </c>
      <c r="CC51" s="26">
        <f/>
        <v/>
      </c>
      <c r="CD51" s="26">
        <f/>
        <v/>
      </c>
      <c r="CE51" s="26">
        <f/>
        <v/>
      </c>
      <c r="CF51" s="26">
        <f/>
        <v/>
      </c>
      <c r="CG51" s="26">
        <f/>
        <v/>
      </c>
      <c r="CH51" s="26">
        <f/>
        <v/>
      </c>
      <c r="CJ51" s="26">
        <f t="array" ref="CJ51:CM56">_xlfn.LET(_xlpm.fullrnge1, INDIRECT(CONCATENATE("Performance!B",Data_Constants!E19,":E", Data_Constants!E20)), _xlpm.brnge1, INDIRECT(CONCATENATE("Performance!B",Data_Constants!E19,":B", Data_Constants!E20)), _xlpm.drnge1, INDIRECT(CONCATENATE("Performance!D",Data_Constants!E19,":D", Data_Constants!E20)), _xlfn._xlws.FILTER(_xlpm.fullrnge1,((_xlpm.brnge1&lt;&gt;0)*(_xlpm.brnge1&lt;&gt;Data_Constants!C19)*(_xlpm.brnge1&lt;&gt;Data_Constants!C20)), "Data Management – Requirements is improperly defined"))</f>
        <v/>
      </c>
      <c r="CK51" s="26">
        <f/>
        <v/>
      </c>
      <c r="CL51" s="26">
        <f/>
        <v/>
      </c>
      <c r="CM51" s="26">
        <f/>
        <v/>
      </c>
      <c r="CP51" s="26">
        <f t="array" ref="CP51:CS53">_xlfn.LET(_xlpm.fullrnge1, INDIRECT(CONCATENATE("Performance!B",Data_Constants!E21,":E", Data_Constants!E22)), _xlpm.brnge1, INDIRECT(CONCATENATE("Performance!B",Data_Constants!E21,":B", Data_Constants!E22)), _xlpm.drnge1, INDIRECT(CONCATENATE("Performance!D",Data_Constants!E21,":D", Data_Constants!E22)), _xlfn._xlws.FILTER(_xlpm.fullrnge1,((_xlpm.brnge1&lt;&gt;0)*(_xlpm.brnge1&lt;&gt;Data_Constants!C21)*(_xlpm.brnge1&lt;&gt;Data_Constants!C25)), "Resource Utilization is improperly defined"))</f>
        <v/>
      </c>
      <c r="CQ51" s="26">
        <f/>
        <v/>
      </c>
      <c r="CR51" s="26">
        <f/>
        <v/>
      </c>
      <c r="CS51" s="26">
        <f/>
        <v/>
      </c>
      <c r="CV51" s="1" t="inlineStr">
        <is>
          <t>Deployment Requirements</t>
        </is>
      </c>
      <c r="DE51" s="1" t="inlineStr">
        <is>
          <t>Software Stack - Information</t>
        </is>
      </c>
    </row>
    <row r="52">
      <c r="A52" s="26">
        <f/>
        <v/>
      </c>
      <c r="B52" s="135">
        <f/>
        <v/>
      </c>
      <c r="H52" s="136">
        <f/>
        <v/>
      </c>
      <c r="I52" s="136">
        <f/>
        <v/>
      </c>
      <c r="J52" s="136">
        <f/>
        <v/>
      </c>
      <c r="K52" s="136">
        <f/>
        <v/>
      </c>
      <c r="L52" s="136">
        <f/>
        <v/>
      </c>
      <c r="O52" s="136">
        <f/>
        <v/>
      </c>
      <c r="P52" s="136">
        <f/>
        <v/>
      </c>
      <c r="Q52" s="136">
        <f/>
        <v/>
      </c>
      <c r="R52" s="136">
        <f/>
        <v/>
      </c>
      <c r="S52" s="136">
        <f/>
        <v/>
      </c>
      <c r="V52" s="136">
        <f/>
        <v/>
      </c>
      <c r="W52" s="136">
        <f/>
        <v/>
      </c>
      <c r="X52" s="136">
        <f/>
        <v/>
      </c>
      <c r="Y52" s="136">
        <f/>
        <v/>
      </c>
      <c r="Z52" s="136">
        <f/>
        <v/>
      </c>
      <c r="AA52" s="136">
        <f/>
        <v/>
      </c>
      <c r="AD52" s="136">
        <f/>
        <v/>
      </c>
      <c r="AE52" s="136">
        <f/>
        <v/>
      </c>
      <c r="AF52" s="136">
        <f/>
        <v/>
      </c>
      <c r="AJ52" s="136">
        <f/>
        <v/>
      </c>
      <c r="AK52" s="136">
        <f/>
        <v/>
      </c>
      <c r="AL52" s="136">
        <f/>
        <v/>
      </c>
      <c r="AM52" s="136">
        <f/>
        <v/>
      </c>
      <c r="AN52" s="136">
        <f/>
        <v/>
      </c>
      <c r="AO52" s="136">
        <f/>
        <v/>
      </c>
      <c r="AP52" s="136">
        <f/>
        <v/>
      </c>
      <c r="AQ52" s="136">
        <f/>
        <v/>
      </c>
      <c r="AR52" s="136">
        <f/>
        <v/>
      </c>
      <c r="AS52" s="136">
        <f/>
        <v/>
      </c>
      <c r="AT52" s="136">
        <f/>
        <v/>
      </c>
      <c r="AW52" s="136">
        <f/>
        <v/>
      </c>
      <c r="AX52" s="136">
        <f/>
        <v/>
      </c>
      <c r="AY52" s="136">
        <f/>
        <v/>
      </c>
      <c r="AZ52" s="136">
        <f/>
        <v/>
      </c>
      <c r="BA52" s="136">
        <f/>
        <v/>
      </c>
      <c r="BB52" s="136">
        <f/>
        <v/>
      </c>
      <c r="BC52" s="136">
        <f/>
        <v/>
      </c>
      <c r="BD52" s="136">
        <f/>
        <v/>
      </c>
      <c r="BE52" s="136">
        <f/>
        <v/>
      </c>
      <c r="BF52" s="136">
        <f/>
        <v/>
      </c>
      <c r="BG52" s="136">
        <f/>
        <v/>
      </c>
      <c r="BJ52" s="136">
        <f/>
        <v/>
      </c>
      <c r="BK52" s="136">
        <f/>
        <v/>
      </c>
      <c r="BL52" s="136">
        <f/>
        <v/>
      </c>
      <c r="BM52" s="136">
        <f/>
        <v/>
      </c>
      <c r="BN52" s="136">
        <f/>
        <v/>
      </c>
      <c r="BO52" s="136">
        <f/>
        <v/>
      </c>
      <c r="BP52" s="136">
        <f/>
        <v/>
      </c>
      <c r="BQ52" s="136">
        <f/>
        <v/>
      </c>
      <c r="BR52" s="136">
        <f/>
        <v/>
      </c>
      <c r="BS52" s="136">
        <f/>
        <v/>
      </c>
      <c r="BT52" s="136">
        <f/>
        <v/>
      </c>
      <c r="BU52" s="136">
        <f/>
        <v/>
      </c>
      <c r="BV52" s="136">
        <f/>
        <v/>
      </c>
      <c r="BY52" s="136">
        <f/>
        <v/>
      </c>
      <c r="BZ52" s="136">
        <f/>
        <v/>
      </c>
      <c r="CA52" s="136">
        <f/>
        <v/>
      </c>
      <c r="CB52" s="136">
        <f/>
        <v/>
      </c>
      <c r="CC52" s="136">
        <f/>
        <v/>
      </c>
      <c r="CD52" s="136">
        <f/>
        <v/>
      </c>
      <c r="CE52" s="136">
        <f/>
        <v/>
      </c>
      <c r="CF52" s="136">
        <f/>
        <v/>
      </c>
      <c r="CG52" s="136">
        <f/>
        <v/>
      </c>
      <c r="CH52" s="136">
        <f/>
        <v/>
      </c>
      <c r="CJ52" s="136">
        <f/>
        <v/>
      </c>
      <c r="CK52" s="136">
        <f/>
        <v/>
      </c>
      <c r="CL52" s="136">
        <f/>
        <v/>
      </c>
      <c r="CM52" s="136">
        <f/>
        <v/>
      </c>
      <c r="CP52" s="136">
        <f/>
        <v/>
      </c>
      <c r="CQ52" s="136">
        <f/>
        <v/>
      </c>
      <c r="CR52" s="136">
        <f/>
        <v/>
      </c>
      <c r="CS52" s="136">
        <f/>
        <v/>
      </c>
      <c r="CV52" s="136">
        <f t="array" ref="CV52:CZ52">_xlfn.LET(
_xlpm.fullrnge1, INDIRECT(CONCATENATE("Performance!B",Data_Constants!O18,":F", Data_Constants!O18)),
_xlpm.crnge1, INDIRECT(CONCATENATE("Performance!C",Data_Constants!O18,":C", Data_Constants!O18)),
_xlpm.brnge1, INDIRECT(CONCATENATE("Performance!B",Data_Constants!O18,":B", Data_Constants!O18)),
_xlfn._xlws.FILTER(_xlpm.fullrnge1,(_xlpm.crnge1&lt;&gt;""), 0))</f>
        <v/>
      </c>
      <c r="CW52" s="136">
        <f/>
        <v/>
      </c>
      <c r="CX52" s="136">
        <f/>
        <v/>
      </c>
      <c r="CY52" s="136">
        <f/>
        <v/>
      </c>
      <c r="CZ52" s="136">
        <f/>
        <v/>
      </c>
      <c r="DE52" s="136">
        <f t="array" ref="DE52:DI52">_xlfn.LET(
_xlpm.fullrnge1, INDIRECT(CONCATENATE("Performance!B",Data_Constants!N20,":F", Data_Constants!N20)),
_xlpm.drnge1, INDIRECT(CONCATENATE("Performance!D",Data_Constants!N20,":D", Data_Constants!N20)),
_xlpm.brnge1, INDIRECT(CONCATENATE("Performance!B",Data_Constants!N20,":B", Data_Constants!N20)),
_xlfn._xlws.FILTER(_xlpm.fullrnge1,(_xlpm.drnge1&lt;&gt;""), "0"))</f>
        <v/>
      </c>
      <c r="DF52" s="136">
        <f/>
        <v/>
      </c>
      <c r="DG52" s="136">
        <f/>
        <v/>
      </c>
      <c r="DH52" s="136">
        <f/>
        <v/>
      </c>
      <c r="DI52" s="136">
        <f/>
        <v/>
      </c>
    </row>
    <row r="53">
      <c r="A53" s="136">
        <f/>
        <v/>
      </c>
      <c r="B53" s="136">
        <f/>
        <v/>
      </c>
      <c r="H53" s="136">
        <f/>
        <v/>
      </c>
      <c r="I53" s="136">
        <f/>
        <v/>
      </c>
      <c r="J53" s="136">
        <f/>
        <v/>
      </c>
      <c r="K53" s="136">
        <f/>
        <v/>
      </c>
      <c r="L53" s="136">
        <f/>
        <v/>
      </c>
      <c r="O53" s="136">
        <f/>
        <v/>
      </c>
      <c r="P53" s="136">
        <f/>
        <v/>
      </c>
      <c r="Q53" s="136">
        <f/>
        <v/>
      </c>
      <c r="R53" s="136">
        <f/>
        <v/>
      </c>
      <c r="S53" s="136">
        <f/>
        <v/>
      </c>
      <c r="V53" s="136">
        <f/>
        <v/>
      </c>
      <c r="W53" s="136">
        <f/>
        <v/>
      </c>
      <c r="X53" s="136">
        <f/>
        <v/>
      </c>
      <c r="Y53" s="136">
        <f/>
        <v/>
      </c>
      <c r="Z53" s="136">
        <f/>
        <v/>
      </c>
      <c r="AA53" s="136">
        <f/>
        <v/>
      </c>
      <c r="AD53" s="136">
        <f/>
        <v/>
      </c>
      <c r="AE53" s="136">
        <f/>
        <v/>
      </c>
      <c r="AF53" s="136">
        <f/>
        <v/>
      </c>
      <c r="AJ53" s="136">
        <f/>
        <v/>
      </c>
      <c r="AK53" s="136">
        <f/>
        <v/>
      </c>
      <c r="AL53" s="136">
        <f/>
        <v/>
      </c>
      <c r="AM53" s="136">
        <f/>
        <v/>
      </c>
      <c r="AN53" s="136">
        <f/>
        <v/>
      </c>
      <c r="AO53" s="136">
        <f/>
        <v/>
      </c>
      <c r="AP53" s="136">
        <f/>
        <v/>
      </c>
      <c r="AQ53" s="136">
        <f/>
        <v/>
      </c>
      <c r="AR53" s="136">
        <f/>
        <v/>
      </c>
      <c r="AS53" s="136">
        <f/>
        <v/>
      </c>
      <c r="AT53" s="136">
        <f/>
        <v/>
      </c>
      <c r="BJ53" s="136">
        <f/>
        <v/>
      </c>
      <c r="BK53" s="136">
        <f/>
        <v/>
      </c>
      <c r="BL53" s="136">
        <f/>
        <v/>
      </c>
      <c r="BM53" s="136">
        <f/>
        <v/>
      </c>
      <c r="BN53" s="136">
        <f/>
        <v/>
      </c>
      <c r="BO53" s="136">
        <f/>
        <v/>
      </c>
      <c r="BP53" s="136">
        <f/>
        <v/>
      </c>
      <c r="BQ53" s="136">
        <f/>
        <v/>
      </c>
      <c r="BR53" s="136">
        <f/>
        <v/>
      </c>
      <c r="BS53" s="136">
        <f/>
        <v/>
      </c>
      <c r="BT53" s="136">
        <f/>
        <v/>
      </c>
      <c r="BU53" s="136">
        <f/>
        <v/>
      </c>
      <c r="BV53" s="136">
        <f/>
        <v/>
      </c>
      <c r="BY53" s="136">
        <f/>
        <v/>
      </c>
      <c r="BZ53" s="136">
        <f/>
        <v/>
      </c>
      <c r="CA53" s="136">
        <f/>
        <v/>
      </c>
      <c r="CB53" s="136">
        <f/>
        <v/>
      </c>
      <c r="CC53" s="136">
        <f/>
        <v/>
      </c>
      <c r="CD53" s="136">
        <f/>
        <v/>
      </c>
      <c r="CE53" s="136">
        <f/>
        <v/>
      </c>
      <c r="CF53" s="136">
        <f/>
        <v/>
      </c>
      <c r="CG53" s="136">
        <f/>
        <v/>
      </c>
      <c r="CH53" s="136">
        <f/>
        <v/>
      </c>
      <c r="CJ53" s="136">
        <f/>
        <v/>
      </c>
      <c r="CK53" s="136">
        <f/>
        <v/>
      </c>
      <c r="CL53" s="136">
        <f/>
        <v/>
      </c>
      <c r="CM53" s="136">
        <f/>
        <v/>
      </c>
      <c r="CP53" s="136">
        <f/>
        <v/>
      </c>
      <c r="CQ53" s="136">
        <f/>
        <v/>
      </c>
      <c r="CR53" s="136">
        <f/>
        <v/>
      </c>
      <c r="CS53" s="136">
        <f/>
        <v/>
      </c>
      <c r="CV53" s="136">
        <f t="array" ref="CV53:CZ53">_xlfn.LET(
_xlpm.fullrnge1, INDIRECT(CONCATENATE("Performance!B",Data_Constants!N24,":F", Data_Constants!N24)),
_xlpm.crnge1, INDIRECT(CONCATENATE("Performance!C",Data_Constants!N24,":C", Data_Constants!N24)),
_xlpm.brnge1, INDIRECT(CONCATENATE("Performance!B",Data_Constants!N24,":B", Data_Constants!N24)),
_xlfn._xlws.FILTER(_xlpm.fullrnge1,(_xlpm.crnge1&lt;&gt;""), 0))</f>
        <v/>
      </c>
      <c r="CW53" s="136">
        <f/>
        <v/>
      </c>
      <c r="CX53" s="136">
        <f/>
        <v/>
      </c>
      <c r="CY53" s="136">
        <f/>
        <v/>
      </c>
      <c r="CZ53" s="136">
        <f/>
        <v/>
      </c>
      <c r="DE53" s="136">
        <f t="array" ref="DE53:DI53">_xlfn.LET(
_xlpm.fullrnge1, INDIRECT(CONCATENATE("Performance!B",Data_Constants!N25,":F", Data_Constants!N25)),
_xlpm.crnge1, INDIRECT(CONCATENATE("Performance!C",Data_Constants!N25,":C", Data_Constants!N25)),
_xlpm.brnge1, INDIRECT(CONCATENATE("Performance!B",Data_Constants!N25,":B", Data_Constants!N25)),
_xlfn._xlws.FILTER(_xlpm.fullrnge1,(_xlpm.crnge1&lt;&gt;""), 0))</f>
        <v/>
      </c>
      <c r="DF53" s="136">
        <f/>
        <v/>
      </c>
      <c r="DG53" s="136">
        <f/>
        <v/>
      </c>
      <c r="DH53" s="136">
        <f/>
        <v/>
      </c>
      <c r="DI53" s="136">
        <f/>
        <v/>
      </c>
    </row>
    <row r="54">
      <c r="A54" s="136">
        <f/>
        <v/>
      </c>
      <c r="B54" s="136">
        <f/>
        <v/>
      </c>
      <c r="H54" s="136">
        <f/>
        <v/>
      </c>
      <c r="I54" s="136">
        <f/>
        <v/>
      </c>
      <c r="J54" s="136">
        <f/>
        <v/>
      </c>
      <c r="K54" s="136">
        <f/>
        <v/>
      </c>
      <c r="L54" s="136">
        <f/>
        <v/>
      </c>
      <c r="O54" s="136">
        <f/>
        <v/>
      </c>
      <c r="P54" s="136">
        <f/>
        <v/>
      </c>
      <c r="Q54" s="136">
        <f/>
        <v/>
      </c>
      <c r="R54" s="136">
        <f/>
        <v/>
      </c>
      <c r="S54" s="136">
        <f/>
        <v/>
      </c>
      <c r="V54" s="136">
        <f/>
        <v/>
      </c>
      <c r="W54" s="136">
        <f/>
        <v/>
      </c>
      <c r="X54" s="136">
        <f/>
        <v/>
      </c>
      <c r="Y54" s="136">
        <f/>
        <v/>
      </c>
      <c r="Z54" s="136">
        <f/>
        <v/>
      </c>
      <c r="AA54" s="136">
        <f/>
        <v/>
      </c>
      <c r="AD54" s="136">
        <f/>
        <v/>
      </c>
      <c r="AE54" s="136">
        <f/>
        <v/>
      </c>
      <c r="AF54" s="136">
        <f/>
        <v/>
      </c>
      <c r="AJ54" s="136">
        <f/>
        <v/>
      </c>
      <c r="AK54" s="136">
        <f/>
        <v/>
      </c>
      <c r="AL54" s="136">
        <f/>
        <v/>
      </c>
      <c r="AM54" s="136">
        <f/>
        <v/>
      </c>
      <c r="AN54" s="136">
        <f/>
        <v/>
      </c>
      <c r="AO54" s="136">
        <f/>
        <v/>
      </c>
      <c r="AP54" s="136">
        <f/>
        <v/>
      </c>
      <c r="AQ54" s="136">
        <f/>
        <v/>
      </c>
      <c r="AR54" s="136">
        <f/>
        <v/>
      </c>
      <c r="AS54" s="136">
        <f/>
        <v/>
      </c>
      <c r="AT54" s="136">
        <f/>
        <v/>
      </c>
      <c r="BJ54" s="136">
        <f/>
        <v/>
      </c>
      <c r="BK54" s="136">
        <f/>
        <v/>
      </c>
      <c r="BL54" s="136">
        <f/>
        <v/>
      </c>
      <c r="BM54" s="136">
        <f/>
        <v/>
      </c>
      <c r="BN54" s="136">
        <f/>
        <v/>
      </c>
      <c r="BO54" s="136">
        <f/>
        <v/>
      </c>
      <c r="BP54" s="136">
        <f/>
        <v/>
      </c>
      <c r="BQ54" s="136">
        <f/>
        <v/>
      </c>
      <c r="BR54" s="136">
        <f/>
        <v/>
      </c>
      <c r="BS54" s="136">
        <f/>
        <v/>
      </c>
      <c r="BT54" s="136">
        <f/>
        <v/>
      </c>
      <c r="BU54" s="136">
        <f/>
        <v/>
      </c>
      <c r="BV54" s="136">
        <f/>
        <v/>
      </c>
      <c r="BY54" s="136">
        <f/>
        <v/>
      </c>
      <c r="BZ54" s="136">
        <f/>
        <v/>
      </c>
      <c r="CA54" s="136">
        <f/>
        <v/>
      </c>
      <c r="CB54" s="136">
        <f/>
        <v/>
      </c>
      <c r="CC54" s="136">
        <f/>
        <v/>
      </c>
      <c r="CD54" s="136">
        <f/>
        <v/>
      </c>
      <c r="CE54" s="136">
        <f/>
        <v/>
      </c>
      <c r="CF54" s="136">
        <f/>
        <v/>
      </c>
      <c r="CG54" s="136">
        <f/>
        <v/>
      </c>
      <c r="CH54" s="136">
        <f/>
        <v/>
      </c>
      <c r="CJ54" s="136">
        <f/>
        <v/>
      </c>
      <c r="CK54" s="136">
        <f/>
        <v/>
      </c>
      <c r="CL54" s="136">
        <f/>
        <v/>
      </c>
      <c r="CM54" s="136">
        <f/>
        <v/>
      </c>
      <c r="CV54" s="136">
        <f t="array" ref="CV54:CZ54">_xlfn.LET(
_xlpm.fullrnge1, INDIRECT(CONCATENATE("Performance!B",Data_Constants!N26,":F", Data_Constants!N26)),
_xlpm.crnge1, INDIRECT(CONCATENATE("Performance!C",Data_Constants!N26,":C", Data_Constants!N26)),
_xlpm.brnge1, INDIRECT(CONCATENATE("Performance!B",Data_Constants!N26,":B", Data_Constants!N26)),
_xlfn._xlws.FILTER(_xlpm.fullrnge1,(_xlpm.crnge1&lt;&gt;""), 0))</f>
        <v/>
      </c>
      <c r="CW54" s="136">
        <f/>
        <v/>
      </c>
      <c r="CX54" s="136">
        <f/>
        <v/>
      </c>
      <c r="CY54" s="136">
        <f/>
        <v/>
      </c>
      <c r="CZ54" s="136">
        <f/>
        <v/>
      </c>
      <c r="DE54" s="136">
        <f t="array" ref="DE54:DI54">_xlfn.LET(
_xlpm.fullrnge1, INDIRECT(CONCATENATE("Performance!B",Data_Constants!N27,":F", (Data_Constants!N27)+1)),
_xlpm.crnge1, INDIRECT(CONCATENATE("Performance!C",Data_Constants!N27,":C", (Data_Constants!N27)+1)),
_xlpm.brnge1, INDIRECT(CONCATENATE("Performance!B",Data_Constants!N27,":B", (Data_Constants!N27)+1)),
_xlfn._xlws.FILTER(_xlpm.fullrnge1,(_xlpm.crnge1&lt;&gt;""), 0))</f>
        <v/>
      </c>
      <c r="DF54" s="136">
        <f/>
        <v/>
      </c>
      <c r="DG54" s="136">
        <f/>
        <v/>
      </c>
      <c r="DH54" s="136">
        <f/>
        <v/>
      </c>
      <c r="DI54" s="136">
        <f/>
        <v/>
      </c>
    </row>
    <row r="55">
      <c r="A55" s="136">
        <f/>
        <v/>
      </c>
      <c r="B55" s="136">
        <f/>
        <v/>
      </c>
      <c r="H55" s="136">
        <f/>
        <v/>
      </c>
      <c r="I55" s="136">
        <f/>
        <v/>
      </c>
      <c r="J55" s="136">
        <f/>
        <v/>
      </c>
      <c r="K55" s="136">
        <f/>
        <v/>
      </c>
      <c r="L55" s="136">
        <f/>
        <v/>
      </c>
      <c r="O55" s="136">
        <f/>
        <v/>
      </c>
      <c r="P55" s="136">
        <f/>
        <v/>
      </c>
      <c r="Q55" s="136">
        <f/>
        <v/>
      </c>
      <c r="R55" s="136">
        <f/>
        <v/>
      </c>
      <c r="S55" s="136">
        <f/>
        <v/>
      </c>
      <c r="AD55" s="136">
        <f/>
        <v/>
      </c>
      <c r="AE55" s="136">
        <f/>
        <v/>
      </c>
      <c r="AF55" s="136">
        <f/>
        <v/>
      </c>
      <c r="BJ55" s="136">
        <f/>
        <v/>
      </c>
      <c r="BK55" s="136">
        <f/>
        <v/>
      </c>
      <c r="BL55" s="136">
        <f/>
        <v/>
      </c>
      <c r="BM55" s="136">
        <f/>
        <v/>
      </c>
      <c r="BN55" s="136">
        <f/>
        <v/>
      </c>
      <c r="BO55" s="136">
        <f/>
        <v/>
      </c>
      <c r="BP55" s="136">
        <f/>
        <v/>
      </c>
      <c r="BQ55" s="136">
        <f/>
        <v/>
      </c>
      <c r="BR55" s="136">
        <f/>
        <v/>
      </c>
      <c r="BS55" s="136">
        <f/>
        <v/>
      </c>
      <c r="BT55" s="136">
        <f/>
        <v/>
      </c>
      <c r="BU55" s="136">
        <f/>
        <v/>
      </c>
      <c r="BV55" s="136">
        <f/>
        <v/>
      </c>
      <c r="CJ55" s="136">
        <f/>
        <v/>
      </c>
      <c r="CK55" s="136">
        <f/>
        <v/>
      </c>
      <c r="CL55" s="136">
        <f/>
        <v/>
      </c>
      <c r="CM55" s="136">
        <f/>
        <v/>
      </c>
    </row>
    <row r="56">
      <c r="A56" s="136">
        <f/>
        <v/>
      </c>
      <c r="B56" s="136">
        <f/>
        <v/>
      </c>
      <c r="O56" s="136">
        <f/>
        <v/>
      </c>
      <c r="P56" s="136">
        <f/>
        <v/>
      </c>
      <c r="Q56" s="136">
        <f/>
        <v/>
      </c>
      <c r="R56" s="136">
        <f/>
        <v/>
      </c>
      <c r="S56" s="136">
        <f/>
        <v/>
      </c>
      <c r="CJ56" s="136">
        <f/>
        <v/>
      </c>
      <c r="CK56" s="136">
        <f/>
        <v/>
      </c>
      <c r="CL56" s="136">
        <f/>
        <v/>
      </c>
      <c r="CM56" s="136">
        <f/>
        <v/>
      </c>
    </row>
    <row r="57">
      <c r="A57" s="136">
        <f/>
        <v/>
      </c>
      <c r="B57" s="136">
        <f/>
        <v/>
      </c>
      <c r="O57" s="136">
        <f/>
        <v/>
      </c>
      <c r="P57" s="136">
        <f/>
        <v/>
      </c>
      <c r="Q57" s="136">
        <f/>
        <v/>
      </c>
      <c r="R57" s="136">
        <f/>
        <v/>
      </c>
      <c r="S57" s="136">
        <f/>
        <v/>
      </c>
    </row>
    <row r="58">
      <c r="A58" s="136">
        <f/>
        <v/>
      </c>
      <c r="B58" s="136">
        <f/>
        <v/>
      </c>
      <c r="O58" s="136">
        <f/>
        <v/>
      </c>
      <c r="P58" s="136">
        <f/>
        <v/>
      </c>
      <c r="Q58" s="136">
        <f/>
        <v/>
      </c>
      <c r="R58" s="136">
        <f/>
        <v/>
      </c>
      <c r="S58" s="136">
        <f/>
        <v/>
      </c>
    </row>
    <row r="59">
      <c r="A59" s="136">
        <f/>
        <v/>
      </c>
      <c r="B59" s="136">
        <f/>
        <v/>
      </c>
      <c r="O59" s="136">
        <f/>
        <v/>
      </c>
      <c r="P59" s="136">
        <f/>
        <v/>
      </c>
      <c r="Q59" s="136">
        <f/>
        <v/>
      </c>
      <c r="R59" s="136">
        <f/>
        <v/>
      </c>
      <c r="S59" s="136">
        <f/>
        <v/>
      </c>
    </row>
    <row r="60">
      <c r="O60" s="136">
        <f/>
        <v/>
      </c>
      <c r="P60" s="136">
        <f/>
        <v/>
      </c>
      <c r="Q60" s="136">
        <f/>
        <v/>
      </c>
      <c r="R60" s="136">
        <f/>
        <v/>
      </c>
      <c r="S60" s="136">
        <f/>
        <v/>
      </c>
    </row>
    <row r="61">
      <c r="O61" s="136">
        <f/>
        <v/>
      </c>
      <c r="P61" s="136">
        <f/>
        <v/>
      </c>
      <c r="Q61" s="136">
        <f/>
        <v/>
      </c>
      <c r="R61" s="136">
        <f/>
        <v/>
      </c>
      <c r="S61" s="136">
        <f/>
        <v/>
      </c>
    </row>
    <row r="62">
      <c r="O62" s="136">
        <f/>
        <v/>
      </c>
      <c r="P62" s="136">
        <f/>
        <v/>
      </c>
      <c r="Q62" s="136">
        <f/>
        <v/>
      </c>
      <c r="R62" s="136">
        <f/>
        <v/>
      </c>
      <c r="S62" s="136">
        <f/>
        <v/>
      </c>
    </row>
    <row r="63">
      <c r="O63" s="136">
        <f/>
        <v/>
      </c>
      <c r="P63" s="136">
        <f/>
        <v/>
      </c>
      <c r="Q63" s="136">
        <f/>
        <v/>
      </c>
      <c r="R63" s="136">
        <f/>
        <v/>
      </c>
      <c r="S63" s="136">
        <f/>
        <v/>
      </c>
    </row>
    <row r="64">
      <c r="O64" s="136">
        <f/>
        <v/>
      </c>
      <c r="P64" s="136">
        <f/>
        <v/>
      </c>
      <c r="Q64" s="136">
        <f/>
        <v/>
      </c>
      <c r="R64" s="136">
        <f/>
        <v/>
      </c>
      <c r="S64" s="136">
        <f/>
        <v/>
      </c>
    </row>
    <row r="65">
      <c r="O65" s="136">
        <f/>
        <v/>
      </c>
      <c r="P65" s="136">
        <f/>
        <v/>
      </c>
      <c r="Q65" s="136">
        <f/>
        <v/>
      </c>
      <c r="R65" s="136">
        <f/>
        <v/>
      </c>
      <c r="S65" s="136">
        <f/>
        <v/>
      </c>
    </row>
    <row r="66">
      <c r="O66" s="136">
        <f/>
        <v/>
      </c>
      <c r="P66" s="136">
        <f/>
        <v/>
      </c>
      <c r="Q66" s="136">
        <f/>
        <v/>
      </c>
      <c r="R66" s="136">
        <f/>
        <v/>
      </c>
      <c r="S66" s="136">
        <f/>
        <v/>
      </c>
    </row>
    <row r="67">
      <c r="O67" s="136">
        <f/>
        <v/>
      </c>
      <c r="P67" s="136">
        <f/>
        <v/>
      </c>
      <c r="Q67" s="136">
        <f/>
        <v/>
      </c>
      <c r="R67" s="136">
        <f/>
        <v/>
      </c>
      <c r="S67" s="136">
        <f/>
        <v/>
      </c>
    </row>
    <row r="120">
      <c r="M120" s="135">
        <f t="array" ref="M120">_xlfn.LET(
_xlpm.fullrnge1, INDIRECT(CONCATENATE("Performance!B",Data_Constants!N25,":F", Data_Constants!N25)),
_xlpm.softwarestackColumnrnge, INDIRECT(CONCATENATE("Performance!D",Data_Constants!N25,":D", Data_Constants!N25)), _xlpm.WebServerRange, INDIRECT(CONCATENATE("Data_Constants!AI3",":AI31")), _xlpm.WebServerCheckOutcomeList, COUNTIF(_xlpm.softwarestackColumnrnge,"*"&amp;_xlpm.WebServerRange&amp;"*"), _xlpm.hasWebServer, IF(MAX(_xlpm.WebServerCheckOutcomeList)=0,FALSE, TRUE), _xlpm.hasWebServer)</f>
        <v/>
      </c>
    </row>
  </sheetData>
  <sheetProtection selectLockedCells="0" selectUnlockedCells="0" algorithmName="SHA-512" sheet="1" objects="1" insertRows="1" insertHyperlinks="1" autoFilter="1" scenarios="1" formatColumns="1" deleteColumns="1" insertColumns="1" pivotTables="1" deleteRows="1" formatCells="1" saltValue="spq/+Y4dvtYf8Yr4oWFqlQ==" formatRows="1" sort="1" spinCount="100000" hashValue="lANsBtyBQ55jWhIFqKHk/ep8uaYGHOxntw1p9WpJXiCo2EGPxDfI0BpIJMdozqT/Nn7v6AcgAPTH4zYyIr/w0A=="/>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2:AI135"/>
  <sheetViews>
    <sheetView workbookViewId="0">
      <selection activeCell="B3" sqref="B3"/>
    </sheetView>
  </sheetViews>
  <sheetFormatPr baseColWidth="8" defaultRowHeight="12.75"/>
  <cols>
    <col width="9.140625" bestFit="1" customWidth="1" style="136" min="1" max="1"/>
    <col width="41.140625" bestFit="1" customWidth="1" style="136" min="2" max="2"/>
    <col width="90.42578125" customWidth="1" style="136" min="3" max="3"/>
    <col width="67.42578125" customWidth="1" style="136" min="4" max="4"/>
    <col width="9.140625" customWidth="1" style="136" min="5" max="5"/>
    <col width="11.42578125" bestFit="1" customWidth="1" style="136" min="6" max="6"/>
    <col width="9.140625" customWidth="1" style="136" min="7" max="7"/>
    <col width="25.5703125" bestFit="1" customWidth="1" style="136" min="8" max="8"/>
    <col width="12.42578125" bestFit="1" customWidth="1" style="136" min="9" max="9"/>
    <col width="9.140625" customWidth="1" style="136" min="10" max="10"/>
    <col width="31.140625" bestFit="1" customWidth="1" style="136" min="11" max="11"/>
    <col width="9.140625" customWidth="1" style="136" min="12" max="12"/>
    <col width="63" bestFit="1" customWidth="1" style="136" min="13" max="13"/>
    <col width="9.140625" customWidth="1" style="136" min="14" max="16"/>
    <col width="10.28515625" bestFit="1" customWidth="1" style="136" min="17" max="17"/>
    <col width="23.28515625" bestFit="1" customWidth="1" style="136" min="18" max="18"/>
    <col width="14" bestFit="1" customWidth="1" style="136" min="19" max="19"/>
    <col width="12.28515625" bestFit="1" customWidth="1" style="136" min="20" max="20"/>
    <col width="21.85546875" customWidth="1" style="136" min="21" max="21"/>
    <col width="10.28515625" bestFit="1" customWidth="1" style="136" min="22" max="22"/>
    <col width="41.85546875" customWidth="1" style="136" min="23" max="23"/>
    <col width="31.7109375" customWidth="1" style="136" min="24" max="24"/>
    <col width="9.140625" customWidth="1" style="136" min="25" max="27"/>
    <col width="15" customWidth="1" style="136" min="28" max="28"/>
    <col width="24.7109375" customWidth="1" style="136" min="29" max="29"/>
    <col width="9.140625" customWidth="1" style="136" min="30" max="31"/>
    <col width="24.140625" customWidth="1" style="136" min="32" max="32"/>
    <col width="9.140625" customWidth="1" style="136" min="33" max="34"/>
    <col width="27" customWidth="1" style="136" min="35" max="35"/>
    <col width="9.140625" customWidth="1" style="136" min="36" max="16384"/>
  </cols>
  <sheetData>
    <row r="2">
      <c r="A2" s="137" t="inlineStr">
        <is>
          <t>Sl. No.</t>
        </is>
      </c>
      <c r="B2" s="137" t="inlineStr">
        <is>
          <t>Table</t>
        </is>
      </c>
      <c r="C2" s="137" t="inlineStr">
        <is>
          <t>Table Limiters</t>
        </is>
      </c>
      <c r="D2" s="137" t="inlineStr">
        <is>
          <t>Attribute</t>
        </is>
      </c>
      <c r="E2" s="137" t="inlineStr">
        <is>
          <t>Value</t>
        </is>
      </c>
      <c r="G2" s="136" t="inlineStr">
        <is>
          <t>Sl. No.</t>
        </is>
      </c>
      <c r="H2" s="136" t="inlineStr">
        <is>
          <t>Symbol</t>
        </is>
      </c>
      <c r="I2" s="136" t="inlineStr">
        <is>
          <t>Value</t>
        </is>
      </c>
      <c r="J2" s="136" t="inlineStr">
        <is>
          <t>Code</t>
        </is>
      </c>
      <c r="L2" s="136" t="inlineStr">
        <is>
          <t>Sl. No.</t>
        </is>
      </c>
      <c r="M2" s="136" t="inlineStr">
        <is>
          <t>Utility Constant</t>
        </is>
      </c>
      <c r="N2" s="136" t="inlineStr">
        <is>
          <t>Value</t>
        </is>
      </c>
      <c r="Q2" s="156" t="inlineStr">
        <is>
          <t>Column1</t>
        </is>
      </c>
      <c r="R2" s="156" t="inlineStr">
        <is>
          <t>Column2</t>
        </is>
      </c>
      <c r="S2" s="156" t="inlineStr">
        <is>
          <t>Column3</t>
        </is>
      </c>
      <c r="T2" s="157" t="inlineStr">
        <is>
          <t>Column4</t>
        </is>
      </c>
      <c r="U2" s="157" t="inlineStr">
        <is>
          <t>Column5</t>
        </is>
      </c>
      <c r="V2" s="157" t="inlineStr">
        <is>
          <t>Column6</t>
        </is>
      </c>
      <c r="W2" s="157" t="inlineStr">
        <is>
          <t>Column7</t>
        </is>
      </c>
      <c r="X2" s="157" t="inlineStr">
        <is>
          <t>Column8</t>
        </is>
      </c>
      <c r="AB2" s="136" t="inlineStr">
        <is>
          <t>Sl. No.</t>
        </is>
      </c>
      <c r="AC2" s="136" t="inlineStr">
        <is>
          <t>Database</t>
        </is>
      </c>
      <c r="AE2" s="136" t="inlineStr">
        <is>
          <t>Sl. No.</t>
        </is>
      </c>
      <c r="AF2" s="136" t="inlineStr">
        <is>
          <t>Application Server</t>
        </is>
      </c>
      <c r="AH2" s="136" t="inlineStr">
        <is>
          <t>Sl. No.</t>
        </is>
      </c>
      <c r="AI2" s="136" t="inlineStr">
        <is>
          <t>Web Server</t>
        </is>
      </c>
    </row>
    <row r="3">
      <c r="A3" s="136" t="n">
        <v>1</v>
      </c>
      <c r="B3" s="136" t="inlineStr">
        <is>
          <t>Deployment Requirements</t>
        </is>
      </c>
      <c r="C3" s="136" t="inlineStr">
        <is>
          <t>Deployment Requirements</t>
        </is>
      </c>
      <c r="D3" s="136" t="inlineStr">
        <is>
          <t>Row Position</t>
        </is>
      </c>
      <c r="E3" s="136">
        <f>MATCH(C3, Performance!$B$2:$B$313,0)+1</f>
        <v/>
      </c>
      <c r="G3" s="136" t="n">
        <v>1</v>
      </c>
      <c r="H3" s="136" t="inlineStr">
        <is>
          <t>Opening Brace</t>
        </is>
      </c>
      <c r="I3" s="136">
        <f>""&amp;CHAR(40)</f>
        <v/>
      </c>
      <c r="J3" s="136">
        <f>CODE(I3)</f>
        <v/>
      </c>
      <c r="L3" s="136" t="n">
        <v>1</v>
      </c>
      <c r="M3" s="136" t="inlineStr">
        <is>
          <t>Number of characters in 'Product Description'</t>
        </is>
      </c>
      <c r="N3" s="136" t="n">
        <v>100</v>
      </c>
      <c r="Q3" s="156" t="inlineStr">
        <is>
          <t>Sl. No.</t>
        </is>
      </c>
      <c r="R3" s="156" t="inlineStr">
        <is>
          <t>Table</t>
        </is>
      </c>
      <c r="S3" s="156" t="inlineStr">
        <is>
          <t>Column Heading</t>
        </is>
      </c>
      <c r="T3" s="157" t="inlineStr">
        <is>
          <t>Input Message</t>
        </is>
      </c>
      <c r="U3" s="157" t="n"/>
      <c r="V3" s="157" t="inlineStr">
        <is>
          <t>Error Alert</t>
        </is>
      </c>
      <c r="W3" s="157" t="n"/>
      <c r="X3" s="136" t="inlineStr">
        <is>
          <t>Formula</t>
        </is>
      </c>
      <c r="AB3" s="136" t="n">
        <v>1</v>
      </c>
      <c r="AC3" t="inlineStr">
        <is>
          <t>Azure CosmosDB</t>
        </is>
      </c>
      <c r="AE3" s="136" t="n">
        <v>1</v>
      </c>
      <c r="AF3" t="inlineStr">
        <is>
          <t>Amazon web services</t>
        </is>
      </c>
      <c r="AH3" s="136" t="n">
        <v>1</v>
      </c>
      <c r="AI3" t="inlineStr">
        <is>
          <t>Amazon Web services</t>
        </is>
      </c>
    </row>
    <row r="4">
      <c r="A4" s="136" t="n">
        <v>2</v>
      </c>
      <c r="B4" s="136" t="inlineStr">
        <is>
          <t>Deployment Requirements</t>
        </is>
      </c>
      <c r="C4" s="136" t="inlineStr">
        <is>
          <t>Mention if the product needs to work in alternative technologies as well</t>
        </is>
      </c>
      <c r="D4" s="136" t="inlineStr">
        <is>
          <t>Row Position</t>
        </is>
      </c>
      <c r="E4" s="136">
        <f>MATCH(C4, Performance!$B$2:$B$313,0)+1</f>
        <v/>
      </c>
      <c r="G4" s="136" t="n">
        <v>2</v>
      </c>
      <c r="H4" s="136" t="inlineStr">
        <is>
          <t>Closing Brace</t>
        </is>
      </c>
      <c r="I4" s="136">
        <f>""&amp;CHAR(41)</f>
        <v/>
      </c>
      <c r="J4" s="136">
        <f>CODE(I4)</f>
        <v/>
      </c>
      <c r="L4" s="136" t="n">
        <v>2</v>
      </c>
      <c r="M4" s="136" t="inlineStr">
        <is>
          <t>Sum percentage of load through Channels</t>
        </is>
      </c>
      <c r="N4" s="136" t="n">
        <v>100</v>
      </c>
      <c r="Q4" s="158" t="n"/>
      <c r="R4" s="158" t="n"/>
      <c r="S4" s="158" t="n"/>
      <c r="T4" s="136" t="inlineStr">
        <is>
          <t>Title</t>
        </is>
      </c>
      <c r="U4" s="136" t="inlineStr">
        <is>
          <t>Message</t>
        </is>
      </c>
      <c r="V4" s="136" t="inlineStr">
        <is>
          <t>Alert Title</t>
        </is>
      </c>
      <c r="W4" s="136" t="inlineStr">
        <is>
          <t>Alert Message</t>
        </is>
      </c>
      <c r="X4" s="135" t="n"/>
      <c r="AB4" s="136" t="n">
        <v>2</v>
      </c>
      <c r="AC4" t="inlineStr">
        <is>
          <t>Azure SQL</t>
        </is>
      </c>
      <c r="AE4" s="136" t="n">
        <v>2</v>
      </c>
      <c r="AF4" t="inlineStr">
        <is>
          <t>Apache Tomcat</t>
        </is>
      </c>
      <c r="AH4" s="136" t="n">
        <v>2</v>
      </c>
      <c r="AI4" t="inlineStr">
        <is>
          <t>Angular</t>
        </is>
      </c>
    </row>
    <row r="5" ht="51" customHeight="1">
      <c r="A5" s="136" t="n">
        <v>3</v>
      </c>
      <c r="B5" s="136" t="inlineStr">
        <is>
          <t>Software Stack - Information</t>
        </is>
      </c>
      <c r="C5" s="136" t="inlineStr">
        <is>
          <t>Software Stack - Information</t>
        </is>
      </c>
      <c r="D5" s="136" t="inlineStr">
        <is>
          <t>Row Position</t>
        </is>
      </c>
      <c r="E5" s="136">
        <f>MATCH(C5, Performance!$B$2:$B$313,0)+1</f>
        <v/>
      </c>
      <c r="G5" s="136" t="n">
        <v>3</v>
      </c>
      <c r="H5" s="136" t="inlineStr">
        <is>
          <t>Space</t>
        </is>
      </c>
      <c r="I5" s="136">
        <f>""&amp;CHAR(32)</f>
        <v/>
      </c>
      <c r="J5" s="136">
        <f>CODE(I5)</f>
        <v/>
      </c>
      <c r="L5" s="136" t="n">
        <v>3</v>
      </c>
      <c r="M5" s="136" t="inlineStr">
        <is>
          <t>Transaction Description</t>
        </is>
      </c>
      <c r="N5" s="136" t="n">
        <v>5</v>
      </c>
      <c r="Q5" s="159" t="n">
        <v>1</v>
      </c>
      <c r="R5" s="160" t="inlineStr">
        <is>
          <t>Asset Info</t>
        </is>
      </c>
      <c r="S5" s="160" t="inlineStr">
        <is>
          <t>Description</t>
        </is>
      </c>
      <c r="T5" s="161" t="inlineStr">
        <is>
          <t>Description</t>
        </is>
      </c>
      <c r="U5" s="162" t="inlineStr">
        <is>
          <t>Provide the description - text value of length greater than or equal to 100 is allowed.</t>
        </is>
      </c>
      <c r="V5" s="160" t="inlineStr">
        <is>
          <t>Description</t>
        </is>
      </c>
      <c r="W5" s="163" t="inlineStr">
        <is>
          <t>The description is not a text value complying to the character length constraints.</t>
        </is>
      </c>
      <c r="X5" s="164" t="inlineStr">
        <is>
          <t>AND(ISTEXT(B4),LEN(B4)&gt;=100)</t>
        </is>
      </c>
      <c r="AB5" s="136" t="n">
        <v>3</v>
      </c>
      <c r="AC5" t="inlineStr">
        <is>
          <t>Azure SQL Database</t>
        </is>
      </c>
      <c r="AE5" s="136" t="n">
        <v>3</v>
      </c>
      <c r="AF5" t="inlineStr">
        <is>
          <t>apache-tomcat</t>
        </is>
      </c>
      <c r="AH5" s="136" t="n">
        <v>3</v>
      </c>
      <c r="AI5" t="inlineStr">
        <is>
          <t>Apache HTTP Server</t>
        </is>
      </c>
    </row>
    <row r="6" ht="76.5" customHeight="1">
      <c r="A6" s="136" t="n">
        <v>4</v>
      </c>
      <c r="B6" s="136" t="inlineStr">
        <is>
          <t>Software Stack - Information</t>
        </is>
      </c>
      <c r="C6" s="136" t="inlineStr">
        <is>
          <t>Concurrent users is the count of users who are in the middle of business transactions at any given time. Note that a business transaction can consist of multiple web pages.</t>
        </is>
      </c>
      <c r="D6" s="136" t="inlineStr">
        <is>
          <t>Row Position</t>
        </is>
      </c>
      <c r="E6" s="136">
        <f>MATCH(C6, Performance!$B$2:$B$313,0)+1</f>
        <v/>
      </c>
      <c r="G6" s="136" t="n">
        <v>4</v>
      </c>
      <c r="H6" s="136" t="inlineStr">
        <is>
          <t>Dot</t>
        </is>
      </c>
      <c r="I6" s="136">
        <f>""&amp;CHAR(46)</f>
        <v/>
      </c>
      <c r="J6" s="136">
        <f>CODE(I6)</f>
        <v/>
      </c>
      <c r="L6" s="136" t="n">
        <v>4</v>
      </c>
      <c r="M6" s="136" t="inlineStr">
        <is>
          <t>SLA to USLA ratio</t>
        </is>
      </c>
      <c r="N6" s="136" t="n">
        <v>1.6</v>
      </c>
      <c r="Q6" s="159" t="n">
        <v>2</v>
      </c>
      <c r="R6" s="160" t="inlineStr">
        <is>
          <t>Deployment Requirements</t>
        </is>
      </c>
      <c r="S6" s="160" t="inlineStr">
        <is>
          <t>Server</t>
        </is>
      </c>
      <c r="T6" s="161" t="inlineStr">
        <is>
          <t>Server</t>
        </is>
      </c>
      <c r="U6" s="162" t="inlineStr">
        <is>
          <t>Provide the category of Server - text value of length greater than or equal to 5 is allowed.</t>
        </is>
      </c>
      <c r="V6" s="160" t="inlineStr">
        <is>
          <t>Server</t>
        </is>
      </c>
      <c r="W6" s="163" t="inlineStr">
        <is>
          <t>The category of Server is not a text value complying to the character length constraints.</t>
        </is>
      </c>
      <c r="X6" s="164" t="inlineStr">
        <is>
          <t>AND(ISTEXT(B6),LEN(B6)&gt;=5)</t>
        </is>
      </c>
      <c r="AB6" s="136" t="n">
        <v>4</v>
      </c>
      <c r="AC6" t="inlineStr">
        <is>
          <t>Azure SQL DB</t>
        </is>
      </c>
      <c r="AE6" s="136" t="n">
        <v>4</v>
      </c>
      <c r="AF6" t="inlineStr">
        <is>
          <t>C Sharp</t>
        </is>
      </c>
      <c r="AH6" s="136" t="n">
        <v>4</v>
      </c>
      <c r="AI6" t="inlineStr">
        <is>
          <t>Apache Tomcat</t>
        </is>
      </c>
    </row>
    <row r="7" ht="51" customHeight="1">
      <c r="A7" s="136" t="n">
        <v>5</v>
      </c>
      <c r="B7" s="136" t="inlineStr">
        <is>
          <t>User Types – Requirements</t>
        </is>
      </c>
      <c r="C7" s="136" t="inlineStr">
        <is>
          <t>User Types – Requirements</t>
        </is>
      </c>
      <c r="D7" s="136" t="inlineStr">
        <is>
          <t>Row Position</t>
        </is>
      </c>
      <c r="E7" s="136">
        <f>MATCH(C7, Performance!$B$2:$B$313,0)+1</f>
        <v/>
      </c>
      <c r="L7" s="136" t="n">
        <v>5</v>
      </c>
      <c r="M7" s="136" t="inlineStr">
        <is>
          <t>Standard Web page response time in seconds</t>
        </is>
      </c>
      <c r="N7" s="136" t="n">
        <v>5</v>
      </c>
      <c r="Q7" s="159" t="n">
        <v>3</v>
      </c>
      <c r="R7" s="160" t="inlineStr">
        <is>
          <t>Deployment Requirements</t>
        </is>
      </c>
      <c r="S7" s="160" t="inlineStr">
        <is>
          <t>Number of Instances</t>
        </is>
      </c>
      <c r="T7" s="161" t="inlineStr">
        <is>
          <t>Number of Instances</t>
        </is>
      </c>
      <c r="U7" s="162" t="inlineStr">
        <is>
          <t>Number of Instances must be a non-zero numeric integer value. Enter "NA" if that does not apply.</t>
        </is>
      </c>
      <c r="V7" s="160" t="inlineStr">
        <is>
          <t>Number of Instances</t>
        </is>
      </c>
      <c r="W7" s="163" t="inlineStr">
        <is>
          <t>Number of Instances is neither a non-zero numeric integer value, nor entered as "NA".</t>
        </is>
      </c>
      <c r="X7" s="164" t="inlineStr">
        <is>
          <t>OR(C6="NA", IF(AND(ISNUMBER(C6),C6&lt;&gt;0), INT(C6)=C6, FALSE))</t>
        </is>
      </c>
      <c r="AB7" s="136" t="n">
        <v>5</v>
      </c>
      <c r="AC7" t="inlineStr">
        <is>
          <t>CosmosDB</t>
        </is>
      </c>
      <c r="AE7" s="136" t="n">
        <v>5</v>
      </c>
      <c r="AF7" t="inlineStr">
        <is>
          <t>CDP Dashboard</t>
        </is>
      </c>
      <c r="AH7" s="136" t="n">
        <v>5</v>
      </c>
      <c r="AI7" t="inlineStr">
        <is>
          <t>Apache Tomcat Embeded(API) and Apache Tomcat for UI</t>
        </is>
      </c>
    </row>
    <row r="8" ht="51" customHeight="1">
      <c r="A8" s="136" t="n">
        <v>6</v>
      </c>
      <c r="B8" s="136" t="inlineStr">
        <is>
          <t>User Types – Requirements</t>
        </is>
      </c>
      <c r="C8" s="136" t="inlineStr">
        <is>
          <t>All the modes of accessing the asset</t>
        </is>
      </c>
      <c r="D8" s="136" t="inlineStr">
        <is>
          <t>Row Position</t>
        </is>
      </c>
      <c r="E8" s="136">
        <f>MATCH(C8, Performance!$B$2:$B$313,0)+1</f>
        <v/>
      </c>
      <c r="L8" s="136" t="n">
        <v>6</v>
      </c>
      <c r="M8" s="136" t="inlineStr">
        <is>
          <t>Minimum time threshold in seconds for batch job completion</t>
        </is>
      </c>
      <c r="N8" s="136" t="n">
        <v>60</v>
      </c>
      <c r="Q8" s="159" t="n">
        <v>4</v>
      </c>
      <c r="R8" s="160" t="inlineStr">
        <is>
          <t>Deployment Requirements</t>
        </is>
      </c>
      <c r="S8" s="160" t="inlineStr">
        <is>
          <t>CPU cores</t>
        </is>
      </c>
      <c r="T8" s="161" t="inlineStr">
        <is>
          <t>CPU cores</t>
        </is>
      </c>
      <c r="U8" s="162" t="inlineStr">
        <is>
          <t>CPU cores must be a non-zero numeric integer or decimal value. Enter "NA" if that does not apply.</t>
        </is>
      </c>
      <c r="V8" s="160" t="inlineStr">
        <is>
          <t>CPU cores</t>
        </is>
      </c>
      <c r="W8" s="163" t="inlineStr">
        <is>
          <t>CPU cores is neither a non-zero numeric integer or decimal value, nor entered as "NA".</t>
        </is>
      </c>
      <c r="X8" s="164" t="inlineStr">
        <is>
          <t>IF(ISNUMBER(C6), AND(ISNUMBER(D6),D6&lt;&gt;0), IF(C6="NA", D6="NA", FALSE))</t>
        </is>
      </c>
      <c r="AB8" s="136" t="n">
        <v>6</v>
      </c>
      <c r="AC8" t="inlineStr">
        <is>
          <t>CouchDB</t>
        </is>
      </c>
      <c r="AE8" s="136" t="n">
        <v>6</v>
      </c>
      <c r="AF8" t="inlineStr">
        <is>
          <t>Django</t>
        </is>
      </c>
      <c r="AH8" s="136" t="n">
        <v>6</v>
      </c>
      <c r="AI8" t="inlineStr">
        <is>
          <t>Apache-Tomcat</t>
        </is>
      </c>
    </row>
    <row r="9" ht="51" customHeight="1">
      <c r="A9" s="136" t="n">
        <v>7</v>
      </c>
      <c r="B9" s="136" t="inlineStr">
        <is>
          <t>Channels - Information</t>
        </is>
      </c>
      <c r="C9" s="136" t="inlineStr">
        <is>
          <t>Channels - Information</t>
        </is>
      </c>
      <c r="D9" s="136" t="inlineStr">
        <is>
          <t>Row Position</t>
        </is>
      </c>
      <c r="E9" s="136">
        <f>MATCH(C9, Performance!$B$2:$B$313,0)+1</f>
        <v/>
      </c>
      <c r="G9" s="136" t="inlineStr">
        <is>
          <t>Sl. No.</t>
        </is>
      </c>
      <c r="H9" s="136" t="inlineStr">
        <is>
          <t>Time Unit</t>
        </is>
      </c>
      <c r="I9" s="136" t="inlineStr">
        <is>
          <t>Notation</t>
        </is>
      </c>
      <c r="L9" s="136" t="n">
        <v>7</v>
      </c>
      <c r="M9" s="136" t="inlineStr">
        <is>
          <t>Minimum count of estimated records in top three largest populated tables</t>
        </is>
      </c>
      <c r="N9" s="136" t="n">
        <v>100</v>
      </c>
      <c r="Q9" s="165" t="n">
        <v>5</v>
      </c>
      <c r="R9" s="160" t="inlineStr">
        <is>
          <t>Deployment Requirements</t>
        </is>
      </c>
      <c r="S9" s="160" t="inlineStr">
        <is>
          <t>RAM</t>
        </is>
      </c>
      <c r="T9" s="161" t="inlineStr">
        <is>
          <t>RAM</t>
        </is>
      </c>
      <c r="U9" s="162" t="inlineStr">
        <is>
          <t>RAM must be a non-zero numeric integer or decimal value. Enter "NA" if that does not apply.</t>
        </is>
      </c>
      <c r="V9" s="160" t="inlineStr">
        <is>
          <t>RAM</t>
        </is>
      </c>
      <c r="W9" s="163" t="inlineStr">
        <is>
          <t>RAM is neither a non-zero numeric integer or decimal value, nor entered as "NA".</t>
        </is>
      </c>
      <c r="X9" s="135" t="inlineStr">
        <is>
          <t>IF(ISNUMBER(C6), AND(ISNUMBER(E6),E6&lt;&gt;0), IF(C6="NA", E6="NA", FALSE))</t>
        </is>
      </c>
      <c r="AB9" s="136" t="n">
        <v>7</v>
      </c>
      <c r="AC9" t="inlineStr">
        <is>
          <t>DocumentDB</t>
        </is>
      </c>
      <c r="AE9" s="136" t="n">
        <v>7</v>
      </c>
      <c r="AF9" t="inlineStr">
        <is>
          <t>Embedded Tomcat</t>
        </is>
      </c>
      <c r="AH9" s="136" t="n">
        <v>7</v>
      </c>
      <c r="AI9" t="inlineStr">
        <is>
          <t>AWS CloudFront</t>
        </is>
      </c>
    </row>
    <row r="10" ht="75" customHeight="1">
      <c r="A10" s="136" t="n">
        <v>8</v>
      </c>
      <c r="B10" s="136" t="inlineStr">
        <is>
          <t>Channels - Information</t>
        </is>
      </c>
      <c r="C10" s="136" t="inlineStr">
        <is>
          <t>Ensure that in the subsequent tables, all the above applicable channels are considered while arriving at Transactions</t>
        </is>
      </c>
      <c r="D10" s="136" t="inlineStr">
        <is>
          <t>Row Position</t>
        </is>
      </c>
      <c r="E10" s="136">
        <f>MATCH(C10, Performance!$B$2:$B$313,0)+1</f>
        <v/>
      </c>
      <c r="G10" s="136" t="n">
        <v>1</v>
      </c>
      <c r="H10" s="136" t="inlineStr">
        <is>
          <t>hour</t>
        </is>
      </c>
      <c r="I10" s="136" t="inlineStr">
        <is>
          <t>h</t>
        </is>
      </c>
      <c r="L10" s="136" t="n">
        <v>8</v>
      </c>
      <c r="M10" s="136" t="inlineStr">
        <is>
          <t>Minimum count of concurrent users for auto-approval</t>
        </is>
      </c>
      <c r="N10" s="149" t="n">
        <v>1</v>
      </c>
      <c r="Q10" s="165" t="n">
        <v>6</v>
      </c>
      <c r="R10" s="160" t="inlineStr">
        <is>
          <t>Software Stack - Information</t>
        </is>
      </c>
      <c r="S10" s="160" t="inlineStr">
        <is>
          <t>Name</t>
        </is>
      </c>
      <c r="T10" s="161" t="inlineStr">
        <is>
          <t>Name</t>
        </is>
      </c>
      <c r="U10" s="162" t="inlineStr">
        <is>
          <t>Provide the name of the Software component - alpha numeric value of length greater than or equal to 3 is allowed.</t>
        </is>
      </c>
      <c r="V10" s="160" t="inlineStr">
        <is>
          <t>Name</t>
        </is>
      </c>
      <c r="W10" s="163" t="inlineStr">
        <is>
          <t>The value of name of the Software component is not an alpha-numeric value complying to the character length constraints.</t>
        </is>
      </c>
      <c r="X10" s="164" t="inlineStr">
        <is>
          <t>AND(ISTEXT(D20), LEN(D20)&gt;=3)</t>
        </is>
      </c>
      <c r="AB10" s="136" t="n">
        <v>8</v>
      </c>
      <c r="AC10" t="inlineStr">
        <is>
          <t>Dynamo DB</t>
        </is>
      </c>
      <c r="AE10" s="136" t="n">
        <v>8</v>
      </c>
      <c r="AF10" t="inlineStr">
        <is>
          <t>Express JS</t>
        </is>
      </c>
      <c r="AH10" s="136" t="n">
        <v>8</v>
      </c>
      <c r="AI10" t="inlineStr">
        <is>
          <t>Azure App Service</t>
        </is>
      </c>
    </row>
    <row r="11" ht="51.75" customHeight="1">
      <c r="A11" s="136" t="n">
        <v>9</v>
      </c>
      <c r="B11" s="136" t="inlineStr">
        <is>
          <t>Response Times - Online Txns – Requirements</t>
        </is>
      </c>
      <c r="C11" s="136" t="inlineStr">
        <is>
          <t>Response Times - Online Txns – Requirements</t>
        </is>
      </c>
      <c r="D11" s="136" t="inlineStr">
        <is>
          <t>Row Position</t>
        </is>
      </c>
      <c r="E11" s="136">
        <f>MATCH(C11, Performance!$B$2:$B$313,0)+1</f>
        <v/>
      </c>
      <c r="G11" s="136" t="n">
        <v>2</v>
      </c>
      <c r="H11" s="136" t="inlineStr">
        <is>
          <t>minute</t>
        </is>
      </c>
      <c r="I11" s="136" t="inlineStr">
        <is>
          <t>m</t>
        </is>
      </c>
      <c r="L11" s="136" t="n">
        <v>9</v>
      </c>
      <c r="M11" s="136" t="inlineStr">
        <is>
          <t>Maximum count of concurrent users for auto-approval</t>
        </is>
      </c>
      <c r="N11" s="149" t="n">
        <v>200</v>
      </c>
      <c r="Q11" s="165" t="n">
        <v>7</v>
      </c>
      <c r="R11" s="161" t="inlineStr">
        <is>
          <t>Software Stack - Information</t>
        </is>
      </c>
      <c r="S11" s="161" t="inlineStr">
        <is>
          <t>Version</t>
        </is>
      </c>
      <c r="T11" s="161" t="inlineStr">
        <is>
          <t>Version</t>
        </is>
      </c>
      <c r="U11" s="160" t="inlineStr">
        <is>
          <t>Provide the version of the Software component - alpha numeric value allowed</t>
        </is>
      </c>
      <c r="V11" s="205" t="inlineStr">
        <is>
          <t>Version</t>
        </is>
      </c>
      <c r="W11" s="166" t="inlineStr">
        <is>
          <t>The value of version is not an alpha-numeric value</t>
        </is>
      </c>
      <c r="X11" s="164" t="inlineStr">
        <is>
          <t>IF(E20="", TRUE, IF(AND(ISTEXT(E20), LEN(E20)&gt;=1, E20&lt;&gt;"NA"),TRUE,IF(AND(ISNUMBER(E20),E20&lt;&gt;0),TRUE,FALSE)))</t>
        </is>
      </c>
      <c r="AB11" s="136" t="n">
        <v>9</v>
      </c>
      <c r="AC11" t="inlineStr">
        <is>
          <t>Elasticsearch</t>
        </is>
      </c>
      <c r="AE11" s="136" t="n">
        <v>9</v>
      </c>
      <c r="AF11" t="inlineStr">
        <is>
          <t>FAST API</t>
        </is>
      </c>
      <c r="AH11" s="136" t="n">
        <v>9</v>
      </c>
      <c r="AI11" t="inlineStr">
        <is>
          <t>Azure AppService (Azure Cloud)</t>
        </is>
      </c>
    </row>
    <row r="12" ht="87.75" customHeight="1">
      <c r="A12" s="136" t="n">
        <v>10</v>
      </c>
      <c r="B12" s="136" t="inlineStr">
        <is>
          <t>Response Times - Online Txns – Requirements</t>
        </is>
      </c>
      <c r="C12" s="136" t="inlineStr">
        <is>
          <t>Response Times - Batch Jobs – Requirements</t>
        </is>
      </c>
      <c r="D12" s="136" t="inlineStr">
        <is>
          <t>Row Position</t>
        </is>
      </c>
      <c r="E12" s="136">
        <f>MATCH(C12, Performance!$B$2:$B$313,0)+1</f>
        <v/>
      </c>
      <c r="G12" s="136" t="n">
        <v>3</v>
      </c>
      <c r="H12" s="136" t="inlineStr">
        <is>
          <t>second</t>
        </is>
      </c>
      <c r="I12" s="136" t="inlineStr">
        <is>
          <t>s</t>
        </is>
      </c>
      <c r="L12" s="136" t="n">
        <v>3</v>
      </c>
      <c r="M12" s="136" t="inlineStr">
        <is>
          <t>Minimum brand name length</t>
        </is>
      </c>
      <c r="N12" s="136" t="n">
        <v>3</v>
      </c>
      <c r="Q12" s="165" t="n">
        <v>8</v>
      </c>
      <c r="R12" s="205" t="inlineStr">
        <is>
          <t>User Types – Requirements</t>
        </is>
      </c>
      <c r="S12" s="205" t="inlineStr">
        <is>
          <t>Total number of users</t>
        </is>
      </c>
      <c r="T12" s="161" t="inlineStr">
        <is>
          <t>Total number of users</t>
        </is>
      </c>
      <c r="U12" s="160" t="inlineStr">
        <is>
          <t>Total number of users of each type must be numeric integer value greater than or equal to 1.</t>
        </is>
      </c>
      <c r="V12" s="205" t="inlineStr">
        <is>
          <t>Total number of users</t>
        </is>
      </c>
      <c r="W12" s="166" t="inlineStr">
        <is>
          <t>Total number of users of each type is not a numeric integer value greater than or equal to 1.</t>
        </is>
      </c>
      <c r="X12" s="135" t="inlineStr">
        <is>
          <t>Whole number &gt;= 1</t>
        </is>
      </c>
      <c r="AB12" s="136" t="n">
        <v>10</v>
      </c>
      <c r="AC12" t="inlineStr">
        <is>
          <t>EnterpriseDB Advanced Server</t>
        </is>
      </c>
      <c r="AE12" s="136" t="n">
        <v>10</v>
      </c>
      <c r="AF12" t="inlineStr">
        <is>
          <t>FastAPI</t>
        </is>
      </c>
      <c r="AH12" s="136" t="n">
        <v>10</v>
      </c>
      <c r="AI12" t="inlineStr">
        <is>
          <t>Azure Data Factory</t>
        </is>
      </c>
    </row>
    <row r="13" ht="77.25" customHeight="1">
      <c r="A13" s="136" t="n">
        <v>11</v>
      </c>
      <c r="B13" s="136" t="inlineStr">
        <is>
          <t xml:space="preserve">Response Times - Batch Jobs – Requirements </t>
        </is>
      </c>
      <c r="C13" s="136" t="inlineStr">
        <is>
          <t>Response Times - Batch Jobs – Requirements</t>
        </is>
      </c>
      <c r="D13" s="136" t="inlineStr">
        <is>
          <t>Row Position</t>
        </is>
      </c>
      <c r="E13" s="136">
        <f>MATCH(C13, Performance!$B$2:$B$313,0)+1</f>
        <v/>
      </c>
      <c r="G13" s="136" t="n">
        <v>4</v>
      </c>
      <c r="H13" s="136" t="inlineStr">
        <is>
          <t>second</t>
        </is>
      </c>
      <c r="I13" s="136" t="inlineStr">
        <is>
          <t>sec</t>
        </is>
      </c>
      <c r="L13" s="136" t="n">
        <v>4</v>
      </c>
      <c r="M13" s="136" t="inlineStr">
        <is>
          <t>TIPAR ID length</t>
        </is>
      </c>
      <c r="N13" s="136" t="n">
        <v>19</v>
      </c>
      <c r="Q13" s="165" t="n">
        <v>9</v>
      </c>
      <c r="R13" s="205" t="inlineStr">
        <is>
          <t>User Types – Requirements</t>
        </is>
      </c>
      <c r="S13" s="160" t="inlineStr">
        <is>
          <t>Users concurrenctly doing a txn</t>
        </is>
      </c>
      <c r="T13" s="161" t="inlineStr">
        <is>
          <t>Users concurrenctly doing a txn</t>
        </is>
      </c>
      <c r="U13" s="160" t="inlineStr">
        <is>
          <t>Users concurrently doing a transaction during peak usage time must be equal to or less than total number of users in each type.</t>
        </is>
      </c>
      <c r="V13" s="205" t="inlineStr">
        <is>
          <t>Users concurrenctly doing a txn</t>
        </is>
      </c>
      <c r="W13" s="166" t="inlineStr">
        <is>
          <t>Users concurrently doing a transaction during peak usage time is not equal to or less than the total number of users in each type.</t>
        </is>
      </c>
      <c r="X13" s="135" t="inlineStr">
        <is>
          <t>Whole number &lt;= Total number of users</t>
        </is>
      </c>
      <c r="AB13" s="136" t="n">
        <v>11</v>
      </c>
      <c r="AC13" t="inlineStr">
        <is>
          <t>IBM DB2 LUW</t>
        </is>
      </c>
      <c r="AE13" s="136" t="n">
        <v>11</v>
      </c>
      <c r="AF13" t="inlineStr">
        <is>
          <t>Flask</t>
        </is>
      </c>
      <c r="AH13" s="136" t="n">
        <v>11</v>
      </c>
      <c r="AI13" t="inlineStr">
        <is>
          <t>Azure ML Studio</t>
        </is>
      </c>
    </row>
    <row r="14" ht="77.25" customHeight="1">
      <c r="A14" s="136" t="n">
        <v>12</v>
      </c>
      <c r="B14" s="136" t="inlineStr">
        <is>
          <t xml:space="preserve">Response Times - Batch Jobs – Requirements </t>
        </is>
      </c>
      <c r="C14" s="136" t="inlineStr">
        <is>
          <t>Response Times - Reports – Requirements</t>
        </is>
      </c>
      <c r="D14" s="136" t="inlineStr">
        <is>
          <t>Row Position</t>
        </is>
      </c>
      <c r="E14" s="136">
        <f>MATCH(C14, Performance!$B$2:$B$313,0)+1</f>
        <v/>
      </c>
      <c r="Q14" s="165" t="n">
        <v>10</v>
      </c>
      <c r="R14" s="205" t="inlineStr">
        <is>
          <t>User Types – Requirements</t>
        </is>
      </c>
      <c r="S14" s="206" t="inlineStr">
        <is>
          <t>Concurrent user % growth - Year 3</t>
        </is>
      </c>
      <c r="T14" s="161" t="inlineStr">
        <is>
          <t>Concurrent user % growth-Year 3</t>
        </is>
      </c>
      <c r="U14" s="167" t="inlineStr">
        <is>
          <t>Concurrent user % growth-Year 3' is not a mandatory field. If known, provide its value as a whole number, else  enter "NA".</t>
        </is>
      </c>
      <c r="V14" s="166" t="inlineStr">
        <is>
          <t>Concurrent user % growth-Year 3</t>
        </is>
      </c>
      <c r="W14" s="166" t="inlineStr">
        <is>
          <t>Concurrent user % growth-Year 3' is neither a whole number, nor entered as "NA".</t>
        </is>
      </c>
      <c r="X14" s="164" t="inlineStr">
        <is>
          <t>OR(E51="NA", IF(ISNUMBER(E51), INT(E51)=E51, FALSE))</t>
        </is>
      </c>
      <c r="AB14" s="136" t="n">
        <v>12</v>
      </c>
      <c r="AC14" t="inlineStr">
        <is>
          <t>influxdb client</t>
        </is>
      </c>
      <c r="AE14" s="136" t="n">
        <v>12</v>
      </c>
      <c r="AF14" t="inlineStr">
        <is>
          <t>Flask-RESTPlus</t>
        </is>
      </c>
      <c r="AH14" s="136" t="n">
        <v>12</v>
      </c>
      <c r="AI14" t="inlineStr">
        <is>
          <t>Azure Web Apps</t>
        </is>
      </c>
    </row>
    <row r="15" ht="77.25" customHeight="1">
      <c r="A15" s="136" t="n">
        <v>13</v>
      </c>
      <c r="B15" s="136" t="inlineStr">
        <is>
          <t>Response Times - Reports – Requirements</t>
        </is>
      </c>
      <c r="C15" s="136" t="inlineStr">
        <is>
          <t>Response Times - Reports – Requirements</t>
        </is>
      </c>
      <c r="D15" s="136" t="inlineStr">
        <is>
          <t>Row Position</t>
        </is>
      </c>
      <c r="E15" s="136">
        <f>MATCH(C15, Performance!$B$2:$B$313,0)+1</f>
        <v/>
      </c>
      <c r="Q15" s="165" t="n">
        <v>11</v>
      </c>
      <c r="R15" s="205" t="inlineStr">
        <is>
          <t>User Types – Requirements</t>
        </is>
      </c>
      <c r="S15" s="160" t="inlineStr">
        <is>
          <t>Concurrent user % growth -  Year 5</t>
        </is>
      </c>
      <c r="T15" s="161" t="inlineStr">
        <is>
          <t>Concurrent user % growth-Year 5</t>
        </is>
      </c>
      <c r="U15" s="167" t="inlineStr">
        <is>
          <t>Concurrent user % growth-Year 5' is not a mandatory field. If known, provide its value as a whole number, else enter "NA".</t>
        </is>
      </c>
      <c r="V15" s="160" t="inlineStr">
        <is>
          <t>Concurrent user % growth-Year 5</t>
        </is>
      </c>
      <c r="W15" s="168" t="inlineStr">
        <is>
          <t>Concurrent user % growth-Year 5' is neither a whole number, nor entered as "NA".</t>
        </is>
      </c>
      <c r="X15" s="135" t="inlineStr">
        <is>
          <t>OR(F51="NA", IF(ISNUMBER(F51), INT(F51)=F51, FALSE))</t>
        </is>
      </c>
      <c r="AB15" s="136" t="n">
        <v>13</v>
      </c>
      <c r="AC15" t="inlineStr">
        <is>
          <t>Kafka</t>
        </is>
      </c>
      <c r="AE15" s="136" t="n">
        <v>13</v>
      </c>
      <c r="AF15" t="inlineStr">
        <is>
          <t>Google.Events.Protobuf</t>
        </is>
      </c>
      <c r="AH15" s="136" t="n">
        <v>13</v>
      </c>
      <c r="AI15" t="inlineStr">
        <is>
          <t>CDP Dashboard (web)</t>
        </is>
      </c>
    </row>
    <row r="16" ht="51.75" customHeight="1">
      <c r="A16" s="136" t="n">
        <v>14</v>
      </c>
      <c r="B16" s="136" t="inlineStr">
        <is>
          <t>Response Times - Reports – Requirements</t>
        </is>
      </c>
      <c r="C16" s="136" t="inlineStr">
        <is>
          <t>Response Times - Data – Requirements</t>
        </is>
      </c>
      <c r="D16" s="136" t="inlineStr">
        <is>
          <t>Row Position</t>
        </is>
      </c>
      <c r="E16" s="136">
        <f>MATCH(C16, Performance!$B$2:$B$313,0)+1</f>
        <v/>
      </c>
      <c r="G16" s="136" t="inlineStr">
        <is>
          <t>Sl. No.</t>
        </is>
      </c>
      <c r="H16" s="136" t="inlineStr">
        <is>
          <t>Report Type</t>
        </is>
      </c>
      <c r="L16" s="394" t="inlineStr">
        <is>
          <t>DB Server check</t>
        </is>
      </c>
      <c r="Q16" s="165" t="n">
        <v>12</v>
      </c>
      <c r="R16" s="205" t="inlineStr">
        <is>
          <t>Channels - Information</t>
        </is>
      </c>
      <c r="S16" s="160" t="inlineStr">
        <is>
          <t>What % of users will access this channel?</t>
        </is>
      </c>
      <c r="T16" s="161" t="inlineStr">
        <is>
          <t>% of users access this channel</t>
        </is>
      </c>
      <c r="U16" s="166" t="inlineStr">
        <is>
          <t>% of users accessing this channel must be numeric integer value. If not applicable, enter "NA".</t>
        </is>
      </c>
      <c r="V16" s="160" t="inlineStr">
        <is>
          <t>% of users access this channel</t>
        </is>
      </c>
      <c r="W16" s="166" t="inlineStr">
        <is>
          <t>% of users access this channel is neither a numeric integer or decimal value, nor entered as "NA".</t>
        </is>
      </c>
      <c r="X16" s="135" t="inlineStr">
        <is>
          <t>OR(C68="NA", IF(ISNUMBER(C68), INT(C68)=C68, FALSE))</t>
        </is>
      </c>
      <c r="AB16" s="136" t="n">
        <v>14</v>
      </c>
      <c r="AC16" t="inlineStr">
        <is>
          <t>MARIA DB</t>
        </is>
      </c>
      <c r="AE16" s="136" t="n">
        <v>14</v>
      </c>
      <c r="AF16" t="inlineStr">
        <is>
          <t>Gunicorn</t>
        </is>
      </c>
      <c r="AH16" s="136" t="n">
        <v>14</v>
      </c>
      <c r="AI16" t="inlineStr">
        <is>
          <t>Django</t>
        </is>
      </c>
    </row>
    <row r="17" ht="102" customHeight="1">
      <c r="A17" s="136" t="n">
        <v>15</v>
      </c>
      <c r="B17" s="136" t="inlineStr">
        <is>
          <t>Response Times - Data – Requirements</t>
        </is>
      </c>
      <c r="C17" s="136" t="inlineStr">
        <is>
          <t>Response Times - Data – Requirements</t>
        </is>
      </c>
      <c r="D17" s="136" t="inlineStr">
        <is>
          <t>Row Position</t>
        </is>
      </c>
      <c r="E17" s="136">
        <f>MATCH(C17, Performance!$B$2:$B$313,0)+1</f>
        <v/>
      </c>
      <c r="G17" s="136" t="n">
        <v>1</v>
      </c>
      <c r="H17" s="136" t="inlineStr">
        <is>
          <t>Scheduled</t>
        </is>
      </c>
      <c r="L17" s="396" t="inlineStr">
        <is>
          <t>Sl. No.</t>
        </is>
      </c>
      <c r="M17" s="396" t="inlineStr">
        <is>
          <t>Table Limiters</t>
        </is>
      </c>
      <c r="N17" s="396" t="inlineStr">
        <is>
          <t>Row position value</t>
        </is>
      </c>
      <c r="Q17" s="165" t="n">
        <v>13</v>
      </c>
      <c r="R17" s="160" t="inlineStr">
        <is>
          <t>Response Times - Online Txns – Requirements</t>
        </is>
      </c>
      <c r="S17" s="160" t="inlineStr">
        <is>
          <t>Transaction Description</t>
        </is>
      </c>
      <c r="T17" s="160" t="inlineStr">
        <is>
          <t>Transaction Description</t>
        </is>
      </c>
      <c r="U17" s="166" t="inlineStr">
        <is>
          <t>Provide the transaction description - text value of length greater than or equal to 5 is allowed. If the field is left blank, the corresponding row will not be considered part of the requirement.</t>
        </is>
      </c>
      <c r="V17" s="160" t="inlineStr">
        <is>
          <t>Transaction Description</t>
        </is>
      </c>
      <c r="W17" s="166" t="inlineStr">
        <is>
          <t>The transaction description is not a text value complying to the character length constraints.</t>
        </is>
      </c>
      <c r="X17" s="164" t="inlineStr">
        <is>
          <t>AND(ISTEXT(C90),LEN(C90)&gt;=5)</t>
        </is>
      </c>
      <c r="AB17" s="136" t="n">
        <v>15</v>
      </c>
      <c r="AC17" t="inlineStr">
        <is>
          <t>Mongo</t>
        </is>
      </c>
      <c r="AE17" s="136" t="n">
        <v>15</v>
      </c>
      <c r="AF17" t="inlineStr">
        <is>
          <t>IBM WebSphere ND</t>
        </is>
      </c>
      <c r="AH17" s="136" t="n">
        <v>15</v>
      </c>
      <c r="AI17" t="inlineStr">
        <is>
          <t>Flask Web Server</t>
        </is>
      </c>
    </row>
    <row r="18" ht="51" customHeight="1">
      <c r="A18" s="136" t="n">
        <v>16</v>
      </c>
      <c r="B18" s="136" t="inlineStr">
        <is>
          <t>Response Times - Data – Requirements</t>
        </is>
      </c>
      <c r="C18" s="136" t="inlineStr">
        <is>
          <t>Data Management – Requirements</t>
        </is>
      </c>
      <c r="D18" s="136" t="inlineStr">
        <is>
          <t>Row Position</t>
        </is>
      </c>
      <c r="E18" s="136">
        <f>MATCH(C18, Performance!$B$2:$B$313,0)+1</f>
        <v/>
      </c>
      <c r="G18" s="136" t="n">
        <v>2</v>
      </c>
      <c r="H18" s="136" t="inlineStr">
        <is>
          <t>Adhoc</t>
        </is>
      </c>
      <c r="L18" s="396" t="n">
        <v>1</v>
      </c>
      <c r="M18" s="396" t="inlineStr">
        <is>
          <t>DB Server</t>
        </is>
      </c>
      <c r="N18" s="396">
        <f>MATCH(M18, Performance!$B$21:$B$310,0)-1</f>
        <v/>
      </c>
      <c r="O18" s="396">
        <f>MATCH(M18, Performance!$B$2:$B$310,0)+1</f>
        <v/>
      </c>
      <c r="Q18" s="165" t="n">
        <v>14</v>
      </c>
      <c r="R18" s="160" t="inlineStr">
        <is>
          <t>Response Times - Online Txns – Requirements</t>
        </is>
      </c>
      <c r="S18" s="160" t="inlineStr">
        <is>
          <t>No of pages visited per transaction</t>
        </is>
      </c>
      <c r="T18" s="160" t="inlineStr">
        <is>
          <t>No of pages visited per transaction</t>
        </is>
      </c>
      <c r="U18" s="166" t="inlineStr">
        <is>
          <t>Pages visited per transaction must be either a numeric integer value or "NA".</t>
        </is>
      </c>
      <c r="V18" s="160" t="inlineStr">
        <is>
          <t>No of pages visited per transaction</t>
        </is>
      </c>
      <c r="W18" s="166" t="inlineStr">
        <is>
          <t>Pages visited per transaction is neither a numeric integer value, nor entered as "NA".</t>
        </is>
      </c>
      <c r="X18" s="164" t="inlineStr">
        <is>
          <t>OR(D90="NA", IF(ISNUMBER(D90), INT(D90)=D90, FALSE))</t>
        </is>
      </c>
      <c r="AB18" s="136" t="n">
        <v>16</v>
      </c>
      <c r="AC18" t="inlineStr">
        <is>
          <t>Mongo DB</t>
        </is>
      </c>
      <c r="AE18" s="136" t="n">
        <v>6</v>
      </c>
      <c r="AF18" t="inlineStr">
        <is>
          <t>IIS</t>
        </is>
      </c>
      <c r="AH18" s="136" t="n">
        <v>16</v>
      </c>
      <c r="AI18" t="inlineStr">
        <is>
          <t>Gunicorn</t>
        </is>
      </c>
    </row>
    <row r="19" ht="63.75" customHeight="1">
      <c r="A19" s="136" t="n">
        <v>17</v>
      </c>
      <c r="B19" s="136" t="inlineStr">
        <is>
          <t>Data Management – Requirements</t>
        </is>
      </c>
      <c r="C19" s="136" t="inlineStr">
        <is>
          <t>Data Management – Requirements</t>
        </is>
      </c>
      <c r="D19" s="136" t="inlineStr">
        <is>
          <t>Row Position</t>
        </is>
      </c>
      <c r="E19" s="136">
        <f>MATCH(C19, Performance!$B$2:$B$313,0)+1</f>
        <v/>
      </c>
      <c r="L19" s="396" t="n">
        <v>2</v>
      </c>
      <c r="M19" s="216" t="inlineStr">
        <is>
          <t>Software Stack - Information</t>
        </is>
      </c>
      <c r="N19" s="396">
        <f>MATCH(M19, Performance!$B$2:$B$310,0)+1</f>
        <v/>
      </c>
      <c r="O19" s="396" t="n"/>
      <c r="Q19" s="165" t="n">
        <v>15</v>
      </c>
      <c r="R19" s="160" t="inlineStr">
        <is>
          <t>Response Times - Online Txns – Requirements</t>
        </is>
      </c>
      <c r="S19" s="160" t="inlineStr">
        <is>
          <t>No of Interactions per Transaction</t>
        </is>
      </c>
      <c r="T19" s="161" t="inlineStr">
        <is>
          <t>No of Interactions per Transaction</t>
        </is>
      </c>
      <c r="U19" s="166" t="inlineStr">
        <is>
          <t>Interactions per transaction must be either a numeric integer value, or it can be "NA"</t>
        </is>
      </c>
      <c r="V19" s="160" t="inlineStr">
        <is>
          <t>No of Interactions per Transaction</t>
        </is>
      </c>
      <c r="W19" s="166" t="inlineStr">
        <is>
          <t>Interactions per transaction is neither a numeric integer or decimal value, nor entered as "NA".</t>
        </is>
      </c>
      <c r="X19" s="164" t="inlineStr">
        <is>
          <t>OR(E90="NA", IF(ISNUMBER(E90), INT(E90)=E90, FALSE))</t>
        </is>
      </c>
      <c r="AB19" s="136" t="n">
        <v>17</v>
      </c>
      <c r="AC19" t="inlineStr">
        <is>
          <t>MongoDB</t>
        </is>
      </c>
      <c r="AE19" s="136" t="n">
        <v>17</v>
      </c>
      <c r="AF19" t="inlineStr">
        <is>
          <t>inbuilt server of spring boot</t>
        </is>
      </c>
      <c r="AH19" s="136" t="n">
        <v>17</v>
      </c>
      <c r="AI19" t="inlineStr">
        <is>
          <t>http-server</t>
        </is>
      </c>
    </row>
    <row r="20" ht="25.5" customHeight="1">
      <c r="A20" s="136" t="n">
        <v>18</v>
      </c>
      <c r="B20" s="136" t="inlineStr">
        <is>
          <t>Data Management – Requirements</t>
        </is>
      </c>
      <c r="C20" s="136" t="inlineStr">
        <is>
          <t>Provide this data only if utilization numbers are known from the existing asset deployed in production (or equivalent) - so that the new version should not exceed the existing utilization.</t>
        </is>
      </c>
      <c r="D20" s="136" t="inlineStr">
        <is>
          <t>Row Position</t>
        </is>
      </c>
      <c r="E20" s="136">
        <f>MATCH(C20, Performance!$B$2:$B$313,0)+1</f>
        <v/>
      </c>
      <c r="G20" s="136" t="inlineStr">
        <is>
          <t>Sl. No.</t>
        </is>
      </c>
      <c r="H20" s="136" t="inlineStr">
        <is>
          <t>Resource Utilization Key</t>
        </is>
      </c>
      <c r="I20" s="136" t="inlineStr">
        <is>
          <t>Threshold</t>
        </is>
      </c>
      <c r="L20" s="396" t="n">
        <v>3</v>
      </c>
      <c r="M20" s="396" t="inlineStr">
        <is>
          <t>Second occurrence of DB Server</t>
        </is>
      </c>
      <c r="N20" s="396">
        <f>SUM(N18+N19)</f>
        <v/>
      </c>
      <c r="O20" s="396" t="n"/>
      <c r="Q20" s="165" t="n">
        <v>16</v>
      </c>
      <c r="R20" s="160" t="inlineStr">
        <is>
          <t>Response Times - Online Txns – Requirements</t>
        </is>
      </c>
      <c r="S20" s="160" t="inlineStr">
        <is>
          <t>SLA</t>
        </is>
      </c>
      <c r="T20" s="161" t="inlineStr">
        <is>
          <t>SLA</t>
        </is>
      </c>
      <c r="U20" s="166" t="inlineStr">
        <is>
          <t>SLA must be numeric integer value.</t>
        </is>
      </c>
      <c r="V20" s="160" t="inlineStr">
        <is>
          <t>SLA</t>
        </is>
      </c>
      <c r="W20" s="166" t="inlineStr">
        <is>
          <t>SLA is not a numeric integer value.</t>
        </is>
      </c>
      <c r="X20" s="164" t="inlineStr">
        <is>
          <t>OR(F100="", INT(F100)=F100)</t>
        </is>
      </c>
      <c r="AB20" s="136" t="n">
        <v>8</v>
      </c>
      <c r="AC20" t="inlineStr">
        <is>
          <t>MySQL</t>
        </is>
      </c>
      <c r="AE20" s="136" t="n">
        <v>18</v>
      </c>
      <c r="AF20" t="inlineStr">
        <is>
          <t>JBOSS</t>
        </is>
      </c>
      <c r="AH20" s="136" t="n">
        <v>18</v>
      </c>
      <c r="AI20" t="inlineStr">
        <is>
          <t>IBM HTTP Server</t>
        </is>
      </c>
    </row>
    <row r="21" ht="38.25" customHeight="1">
      <c r="A21" s="136" t="n">
        <v>19</v>
      </c>
      <c r="B21" s="136" t="inlineStr">
        <is>
          <t>Resource Utilization – Requirements</t>
        </is>
      </c>
      <c r="C21" s="136" t="inlineStr">
        <is>
          <t>Resource Utilization – Requirements</t>
        </is>
      </c>
      <c r="D21" s="136" t="inlineStr">
        <is>
          <t>Row Position</t>
        </is>
      </c>
      <c r="E21" s="136">
        <f>MATCH(C21, Performance!$B$2:$B$313,0)+1</f>
        <v/>
      </c>
      <c r="G21" s="136" t="n">
        <v>1</v>
      </c>
      <c r="H21" s="136" t="inlineStr">
        <is>
          <t>CPU Utilization</t>
        </is>
      </c>
      <c r="I21" s="136" t="n">
        <v>60</v>
      </c>
      <c r="L21" s="396" t="n">
        <v>4</v>
      </c>
      <c r="M21" s="396" t="inlineStr">
        <is>
          <t>Concurrent users is the count of users who are in the middle of business transactions at any given time. Note that a business transaction can consist of multiple web pages.</t>
        </is>
      </c>
      <c r="N21" s="396">
        <f>MATCH(M21, Performance!$B$2:$B$310,0)-1</f>
        <v/>
      </c>
      <c r="O21" s="396" t="n"/>
      <c r="Q21" s="165" t="n">
        <v>17</v>
      </c>
      <c r="R21" s="160" t="inlineStr">
        <is>
          <t>Response Times - Online Txns – Requirements</t>
        </is>
      </c>
      <c r="S21" s="160" t="inlineStr">
        <is>
          <t>USLA</t>
        </is>
      </c>
      <c r="T21" s="161" t="inlineStr">
        <is>
          <t>USLA</t>
        </is>
      </c>
      <c r="U21" s="166" t="inlineStr">
        <is>
          <t>USLA must be a numeric integer value greater than or equal to SLA.</t>
        </is>
      </c>
      <c r="V21" s="160" t="inlineStr">
        <is>
          <t>USLA</t>
        </is>
      </c>
      <c r="W21" s="166" t="inlineStr">
        <is>
          <t>USLA is neither a numeric integer value, nor is it greater than or equal to SLA.</t>
        </is>
      </c>
      <c r="X21" s="135" t="inlineStr">
        <is>
          <t>Whole number &gt;= SLA</t>
        </is>
      </c>
      <c r="AB21" s="136" t="n">
        <v>19</v>
      </c>
      <c r="AC21" t="inlineStr">
        <is>
          <t>Oracle</t>
        </is>
      </c>
      <c r="AE21" s="136" t="n">
        <v>19</v>
      </c>
      <c r="AF21" t="inlineStr">
        <is>
          <t>JBOSS - NA  weblogic</t>
        </is>
      </c>
      <c r="AH21" s="136" t="n">
        <v>19</v>
      </c>
      <c r="AI21" t="inlineStr">
        <is>
          <t>IIS</t>
        </is>
      </c>
    </row>
    <row r="22" ht="77.25" customHeight="1">
      <c r="A22" s="136" t="n">
        <v>20</v>
      </c>
      <c r="B22" s="136" t="inlineStr">
        <is>
          <t>Resource Utilization – Requirements</t>
        </is>
      </c>
      <c r="D22" s="136" t="inlineStr">
        <is>
          <t>Row Position</t>
        </is>
      </c>
      <c r="E22" s="136">
        <f>E21+25</f>
        <v/>
      </c>
      <c r="G22" s="136" t="n">
        <v>2</v>
      </c>
      <c r="H22" s="136" t="inlineStr">
        <is>
          <t>Memory Utilization</t>
        </is>
      </c>
      <c r="I22" s="136" t="n">
        <v>70</v>
      </c>
      <c r="L22" s="396" t="n">
        <v>5</v>
      </c>
      <c r="M22" s="208" t="inlineStr">
        <is>
          <t>Mention if the product needs to work in alternative technologies as well</t>
        </is>
      </c>
      <c r="N22" s="396">
        <f>MATCH(M22, Performance!$B$2:$B$310,0)-1</f>
        <v/>
      </c>
      <c r="O22" s="396" t="n"/>
      <c r="Q22" s="165" t="n">
        <v>18</v>
      </c>
      <c r="R22" s="160" t="inlineStr">
        <is>
          <t>Response Times - Online Txns – Requirements</t>
        </is>
      </c>
      <c r="S22" s="160" t="inlineStr">
        <is>
          <t># of concurrent users accessing the function</t>
        </is>
      </c>
      <c r="T22" s="161" t="inlineStr">
        <is>
          <t># of concurrent users accessing the function</t>
        </is>
      </c>
      <c r="U22" s="166" t="inlineStr">
        <is>
          <t>Concurrent users must be a non-zero numeric integer value, or it can be left blank.</t>
        </is>
      </c>
      <c r="V22" s="160" t="inlineStr">
        <is>
          <t># of concurrent users accessing the function</t>
        </is>
      </c>
      <c r="W22" s="166" t="inlineStr">
        <is>
          <t>Concurrent users is neither a non-zero numeric integer value, nor blank.</t>
        </is>
      </c>
      <c r="X22" s="164" t="inlineStr">
        <is>
          <t>OR(H90="", IF(AND(ISNUMBER(H90),H90&lt;&gt;0), INT(H90)=H90, FALSE))</t>
        </is>
      </c>
      <c r="AB22" s="136" t="n">
        <v>20</v>
      </c>
      <c r="AC22" t="inlineStr">
        <is>
          <t>Npgsql</t>
        </is>
      </c>
      <c r="AE22" s="136" t="n">
        <v>20</v>
      </c>
      <c r="AF22" t="inlineStr">
        <is>
          <t>JBOSS EAP</t>
        </is>
      </c>
      <c r="AH22" s="136" t="n">
        <v>20</v>
      </c>
      <c r="AI22" t="inlineStr">
        <is>
          <t>Map Server</t>
        </is>
      </c>
    </row>
    <row r="23" ht="63.75" customHeight="1">
      <c r="A23" s="136" t="n">
        <v>21</v>
      </c>
      <c r="B23" s="136" t="inlineStr">
        <is>
          <t>Asset Information</t>
        </is>
      </c>
      <c r="C23" s="136" t="inlineStr">
        <is>
          <t>Asset Information</t>
        </is>
      </c>
      <c r="D23" s="136" t="inlineStr">
        <is>
          <t>Row Position</t>
        </is>
      </c>
      <c r="E23" s="136">
        <f>MATCH(C23, 'Asset Info'!$A$1:$A$303,0)+1</f>
        <v/>
      </c>
      <c r="L23" s="394" t="inlineStr">
        <is>
          <t>Web Server check</t>
        </is>
      </c>
      <c r="Q23" s="165" t="n">
        <v>19</v>
      </c>
      <c r="R23" s="160" t="inlineStr">
        <is>
          <t>Response Times - Online Txns – Requirements</t>
        </is>
      </c>
      <c r="S23" s="160" t="inlineStr">
        <is>
          <t>Throughput (per hr)</t>
        </is>
      </c>
      <c r="T23" s="161" t="inlineStr">
        <is>
          <t>Throughput (per hr)</t>
        </is>
      </c>
      <c r="U23" s="160" t="inlineStr">
        <is>
          <t>Throughput (per hr) is not a mandatory field. If known, provide its value as a whole number, else  enter "NA".</t>
        </is>
      </c>
      <c r="V23" s="160" t="inlineStr">
        <is>
          <t>Throughput (per hr)</t>
        </is>
      </c>
      <c r="W23" s="166" t="inlineStr">
        <is>
          <t>Throughput (per hr) is neither a whole number, nor entered as "NA".</t>
        </is>
      </c>
      <c r="X23" s="164" t="inlineStr">
        <is>
          <t>IF(ISNUMBER(J90), IF(INT(J90)=J90, TRUE, FALSE), IF(J90="NA", TRUE, FALSE))</t>
        </is>
      </c>
      <c r="AB23" s="136" t="n">
        <v>21</v>
      </c>
      <c r="AC23" t="inlineStr">
        <is>
          <t>Oracle database</t>
        </is>
      </c>
      <c r="AE23" s="136" t="n">
        <v>21</v>
      </c>
      <c r="AF23" t="inlineStr">
        <is>
          <t>Map Server</t>
        </is>
      </c>
      <c r="AH23" s="136" t="n">
        <v>21</v>
      </c>
      <c r="AI23" t="inlineStr">
        <is>
          <t>Microsoft-IIS</t>
        </is>
      </c>
    </row>
    <row r="24" ht="63.75" customHeight="1">
      <c r="A24" s="136" t="n">
        <v>22</v>
      </c>
      <c r="B24" s="136" t="inlineStr">
        <is>
          <t>Asset Information</t>
        </is>
      </c>
      <c r="C24" s="136" t="inlineStr">
        <is>
          <t>Provide the technical details of the Asset, answering the following questions</t>
        </is>
      </c>
      <c r="D24" s="136" t="inlineStr">
        <is>
          <t>Row Position</t>
        </is>
      </c>
      <c r="E24" s="136">
        <f>MATCH(C24, 'Asset Info'!$A$1:$A$303,0)</f>
        <v/>
      </c>
      <c r="M24" s="136" t="inlineStr">
        <is>
          <t>Web Server</t>
        </is>
      </c>
      <c r="N24" s="136">
        <f>MATCH(M24, Performance!$B$2:$B$310,0)+1</f>
        <v/>
      </c>
      <c r="Q24" s="165" t="n">
        <v>20</v>
      </c>
      <c r="R24" s="160" t="inlineStr">
        <is>
          <t>Response Times - Online Txns – Requirements</t>
        </is>
      </c>
      <c r="S24" s="160" t="inlineStr">
        <is>
          <t>Throughput % growth-Year 3</t>
        </is>
      </c>
      <c r="T24" s="161" t="inlineStr">
        <is>
          <t>Throughput % growth-Year 3</t>
        </is>
      </c>
      <c r="U24" s="160" t="inlineStr">
        <is>
          <t>Throughput % growth-Year 3 is not a mandatory field. If known, provide its value as a whole number, else  enter "NA".</t>
        </is>
      </c>
      <c r="V24" s="160" t="inlineStr">
        <is>
          <t>Throughput % growth-Year 3</t>
        </is>
      </c>
      <c r="W24" s="166" t="inlineStr">
        <is>
          <t>Throughput % growth-Year 3 is neither a whole number, nor entered as "NA".</t>
        </is>
      </c>
      <c r="X24" s="169" t="inlineStr">
        <is>
          <t>OR(J90="NA", IF(ISNUMBER(J90), INT(J90)=J90, FALSE))</t>
        </is>
      </c>
      <c r="AB24" s="136" t="n">
        <v>22</v>
      </c>
      <c r="AC24" t="inlineStr">
        <is>
          <t>Oracle Database 12c Enterprise Edition</t>
        </is>
      </c>
      <c r="AE24" s="136" t="n">
        <v>22</v>
      </c>
      <c r="AF24" t="inlineStr">
        <is>
          <t>Maven</t>
        </is>
      </c>
      <c r="AH24" s="136" t="n">
        <v>22</v>
      </c>
      <c r="AI24" t="inlineStr">
        <is>
          <t>NGINX</t>
        </is>
      </c>
    </row>
    <row r="25" ht="85.5" customHeight="1">
      <c r="A25" s="136" t="n">
        <v>23</v>
      </c>
      <c r="B25" s="136" t="inlineStr">
        <is>
          <t>Resource Utilization – Requirements</t>
        </is>
      </c>
      <c r="C25" s="136" t="inlineStr">
        <is>
          <t>Input / Output devices Utilization</t>
        </is>
      </c>
      <c r="D25" s="136" t="inlineStr">
        <is>
          <t>Row Position</t>
        </is>
      </c>
      <c r="E25" s="136">
        <f>MATCH(C25, Performance!$B$2:$B$306,0)+1</f>
        <v/>
      </c>
      <c r="M25" s="136" t="inlineStr">
        <is>
          <t>Software - Web Server</t>
        </is>
      </c>
      <c r="N25" s="136">
        <f>MATCH(M25, Performance!$B$2:$B$310,0)+1</f>
        <v/>
      </c>
      <c r="Q25" s="165" t="n">
        <v>21</v>
      </c>
      <c r="R25" s="160" t="inlineStr">
        <is>
          <t>Response Times - Online Txns – Requirements</t>
        </is>
      </c>
      <c r="S25" s="160" t="inlineStr">
        <is>
          <t>Throughput % Growth in size - Year 5</t>
        </is>
      </c>
      <c r="T25" s="161" t="inlineStr">
        <is>
          <t>Throughput % Growth in size - Year 5</t>
        </is>
      </c>
      <c r="U25" s="160" t="inlineStr">
        <is>
          <t>Throughput % Growth in size - Year 5 is not a mandatory field. If known, provide its value as a whole number, else  enter "NA".</t>
        </is>
      </c>
      <c r="V25" s="160" t="inlineStr">
        <is>
          <t>Throughput % Growth in size - Year 5</t>
        </is>
      </c>
      <c r="W25" s="166" t="inlineStr">
        <is>
          <t>Throughput % Growth in size - Year 5 is neither a whole number, nor entered as "NA".</t>
        </is>
      </c>
      <c r="X25" s="169" t="inlineStr">
        <is>
          <t>IF(ISNUMBER(K90), IF(INT(K90)=K90, TRUE, FALSE), IF(K90="NA", TRUE, FALSE))</t>
        </is>
      </c>
      <c r="AB25" s="136" t="n">
        <v>23</v>
      </c>
      <c r="AC25" t="inlineStr">
        <is>
          <t>Oracle Database 19c Enterprise Edition</t>
        </is>
      </c>
      <c r="AE25" s="136" t="n">
        <v>23</v>
      </c>
      <c r="AF25" t="inlineStr">
        <is>
          <t>NET Core</t>
        </is>
      </c>
      <c r="AH25" s="136" t="n">
        <v>23</v>
      </c>
      <c r="AI25" t="inlineStr">
        <is>
          <t>Nginz</t>
        </is>
      </c>
    </row>
    <row r="26" ht="114.75" customHeight="1">
      <c r="G26" s="136" t="inlineStr">
        <is>
          <t>Sl. No.</t>
        </is>
      </c>
      <c r="H26" s="136" t="inlineStr">
        <is>
          <t>Application Server</t>
        </is>
      </c>
      <c r="J26" s="136" t="inlineStr">
        <is>
          <t>Sl. No.</t>
        </is>
      </c>
      <c r="K26" s="136" t="inlineStr">
        <is>
          <t>Web Server</t>
        </is>
      </c>
      <c r="M26" s="136" t="inlineStr">
        <is>
          <t>Application Server</t>
        </is>
      </c>
      <c r="N26" s="136">
        <f>MATCH(M26, Performance!$B$2:$B$310,0)+1</f>
        <v/>
      </c>
      <c r="Q26" s="165" t="n">
        <v>22</v>
      </c>
      <c r="R26" s="160" t="inlineStr">
        <is>
          <t>Response Times - Batch Jobs – Requirements</t>
        </is>
      </c>
      <c r="S26" s="160" t="inlineStr">
        <is>
          <t>Batch job/Transaction Description</t>
        </is>
      </c>
      <c r="T26" s="161" t="inlineStr">
        <is>
          <t>Batch job Description</t>
        </is>
      </c>
      <c r="U26" s="166" t="inlineStr">
        <is>
          <t xml:space="preserve">Provide batch job description - text value of length greater than or equal to 5 is allowed. If the field is left blank, the corresponding row will not be considered part of the requirement.
</t>
        </is>
      </c>
      <c r="V26" s="160" t="inlineStr">
        <is>
          <t>Batch job Description</t>
        </is>
      </c>
      <c r="W26" s="166" t="inlineStr">
        <is>
          <t>The batch job description is not a text value complying to the character length constraints.</t>
        </is>
      </c>
      <c r="X26" s="135" t="inlineStr">
        <is>
          <t>AND(ISTEXT(C106),LEN(C106)&gt;=5)</t>
        </is>
      </c>
      <c r="AB26" s="136" t="n">
        <v>24</v>
      </c>
      <c r="AC26" t="inlineStr">
        <is>
          <t>PG Vector</t>
        </is>
      </c>
      <c r="AE26" s="136" t="n">
        <v>24</v>
      </c>
      <c r="AF26" t="inlineStr">
        <is>
          <t>Nginx</t>
        </is>
      </c>
      <c r="AH26" s="136" t="n">
        <v>24</v>
      </c>
      <c r="AI26" t="inlineStr">
        <is>
          <t>Ngnix</t>
        </is>
      </c>
    </row>
    <row r="27" ht="114.75" customHeight="1">
      <c r="G27" s="136" t="n">
        <v>1</v>
      </c>
      <c r="H27" s="136" t="inlineStr">
        <is>
          <t>Tomcat</t>
        </is>
      </c>
      <c r="J27" s="136" t="n">
        <v>1</v>
      </c>
      <c r="K27" s="136" t="inlineStr">
        <is>
          <t>Apache HTTP Server</t>
        </is>
      </c>
      <c r="M27" s="136" t="inlineStr">
        <is>
          <t>Second occurrence of Application Server</t>
        </is>
      </c>
      <c r="N27" s="136">
        <f>MATCH(M26, Performance!$B$21:$B$310,0)-1+N19-1</f>
        <v/>
      </c>
      <c r="Q27" s="165" t="n">
        <v>23</v>
      </c>
      <c r="R27" s="160" t="inlineStr">
        <is>
          <t>Response Times - Batch Jobs – Requirements</t>
        </is>
      </c>
      <c r="S27" s="160" t="inlineStr">
        <is>
          <t>Scheduling pattern(hourly/daily/weekly/fortnightly/monthly/on-demand)</t>
        </is>
      </c>
      <c r="T27" s="161" t="inlineStr">
        <is>
          <t>Scheduling pattern (hourly / daily / weekly / fortnightly/ monthly/ on-demand)</t>
        </is>
      </c>
      <c r="U27" s="166" t="inlineStr">
        <is>
          <t>Select an appropriate scheduling pattern (hourly / daily / weekly / fortnightly/ monthly/ on-demand)</t>
        </is>
      </c>
      <c r="V27" s="160" t="inlineStr">
        <is>
          <t>Scheduling pattern (hourly / daily / weekly / fortnightly/ monthly/ on-demand)</t>
        </is>
      </c>
      <c r="W27" s="166" t="inlineStr">
        <is>
          <t>Scheduling pattern is not selected</t>
        </is>
      </c>
      <c r="X27" s="135" t="inlineStr">
        <is>
          <t>Dropdown list (Hourly,Daily,Weekly,Fortnightly,Monthly,On-demand) is provided in the data validation directly.</t>
        </is>
      </c>
      <c r="AB27" s="136" t="n">
        <v>25</v>
      </c>
      <c r="AC27" t="inlineStr">
        <is>
          <t>Postgres</t>
        </is>
      </c>
      <c r="AE27" s="136" t="n">
        <v>25</v>
      </c>
      <c r="AF27" t="inlineStr">
        <is>
          <t>Node js</t>
        </is>
      </c>
      <c r="AH27" s="136" t="n">
        <v>25</v>
      </c>
      <c r="AI27" t="inlineStr">
        <is>
          <t>node.js</t>
        </is>
      </c>
    </row>
    <row r="28" ht="25.5" customHeight="1">
      <c r="A28" s="137" t="inlineStr">
        <is>
          <t>Sl. No.</t>
        </is>
      </c>
      <c r="B28" s="137" t="inlineStr">
        <is>
          <t>Table</t>
        </is>
      </c>
      <c r="C28" s="137" t="inlineStr">
        <is>
          <t>Valid case Message</t>
        </is>
      </c>
      <c r="D28" s="137" t="inlineStr">
        <is>
          <t>Invalid case Message</t>
        </is>
      </c>
      <c r="E28" s="137" t="inlineStr">
        <is>
          <t>Column1</t>
        </is>
      </c>
      <c r="F28" s="137" t="inlineStr">
        <is>
          <t>Column2</t>
        </is>
      </c>
      <c r="G28" s="136" t="n">
        <v>2</v>
      </c>
      <c r="H28" s="136" t="inlineStr">
        <is>
          <t>Jboss</t>
        </is>
      </c>
      <c r="J28" s="136" t="n">
        <v>2</v>
      </c>
      <c r="K28" s="136" t="inlineStr">
        <is>
          <t>Ngnix</t>
        </is>
      </c>
      <c r="M28" s="136" t="inlineStr">
        <is>
          <t>Content/Image server</t>
        </is>
      </c>
      <c r="N28" s="136">
        <f>MATCH(M28, Performance!$B$2:$B$310,0)</f>
        <v/>
      </c>
      <c r="Q28" s="165" t="n">
        <v>24</v>
      </c>
      <c r="R28" s="160" t="inlineStr">
        <is>
          <t>Response Times - Batch Jobs – Requirements</t>
        </is>
      </c>
      <c r="S28" s="160" t="inlineStr">
        <is>
          <t>SLA</t>
        </is>
      </c>
      <c r="T28" s="161" t="inlineStr">
        <is>
          <t>SLA</t>
        </is>
      </c>
      <c r="U28" s="166" t="inlineStr">
        <is>
          <t>SLA must be numeric integer value.</t>
        </is>
      </c>
      <c r="V28" s="160" t="inlineStr">
        <is>
          <t>SLA</t>
        </is>
      </c>
      <c r="W28" s="166" t="inlineStr">
        <is>
          <t>SLA is not a numeric integer value.</t>
        </is>
      </c>
      <c r="X28" s="164" t="inlineStr">
        <is>
          <t>OR(E106="", INT(E106)=E106)</t>
        </is>
      </c>
      <c r="AB28" s="136" t="n">
        <v>26</v>
      </c>
      <c r="AC28" t="inlineStr">
        <is>
          <t>PostgreSQL</t>
        </is>
      </c>
      <c r="AE28" s="136" t="n">
        <v>26</v>
      </c>
      <c r="AF28" t="inlineStr">
        <is>
          <t>Python</t>
        </is>
      </c>
      <c r="AH28" s="136" t="n">
        <v>26</v>
      </c>
      <c r="AI28" t="inlineStr">
        <is>
          <t>NodeJS</t>
        </is>
      </c>
    </row>
    <row r="29" ht="38.25" customHeight="1">
      <c r="A29" s="136" t="n">
        <v>1</v>
      </c>
      <c r="B29" s="136" t="inlineStr">
        <is>
          <t>Asset Synoptics</t>
        </is>
      </c>
      <c r="C29" s="136" t="inlineStr">
        <is>
          <t>Version number for the asset is provided</t>
        </is>
      </c>
      <c r="D29" s="136" t="inlineStr">
        <is>
          <t>Cannot find the version number for the asset</t>
        </is>
      </c>
      <c r="G29" s="136" t="n">
        <v>3</v>
      </c>
      <c r="H29" s="136" t="inlineStr">
        <is>
          <t>Wildfly</t>
        </is>
      </c>
      <c r="J29" s="136" t="n">
        <v>3</v>
      </c>
      <c r="K29" s="136" t="inlineStr">
        <is>
          <t>IIS</t>
        </is>
      </c>
      <c r="M29" s="149" t="inlineStr">
        <is>
          <t>Application Server (e.g Jboss)</t>
        </is>
      </c>
      <c r="N29" s="149">
        <f>MATCH(M29, Performance!$C$21:$C$310,0)-1+N19-1</f>
        <v/>
      </c>
      <c r="Q29" s="165" t="n">
        <v>25</v>
      </c>
      <c r="R29" s="160" t="inlineStr">
        <is>
          <t>Response Times - Batch Jobs – Requirements</t>
        </is>
      </c>
      <c r="S29" s="160" t="inlineStr">
        <is>
          <t>USLA</t>
        </is>
      </c>
      <c r="T29" s="161" t="inlineStr">
        <is>
          <t>USLA</t>
        </is>
      </c>
      <c r="U29" s="160" t="inlineStr">
        <is>
          <t>USLA must be a numeric integer value greater than or equal to SLA.</t>
        </is>
      </c>
      <c r="V29" s="160" t="inlineStr">
        <is>
          <t>USLA</t>
        </is>
      </c>
      <c r="W29" s="166" t="inlineStr">
        <is>
          <t>USLA is neither a numeric integer value, nor is it greater than or equal to SLA.</t>
        </is>
      </c>
      <c r="X29" s="135" t="inlineStr">
        <is>
          <t>Whole number &gt;= SLA</t>
        </is>
      </c>
      <c r="AB29" s="136" t="n">
        <v>27</v>
      </c>
      <c r="AC29" t="inlineStr">
        <is>
          <t>PostgresSQL</t>
        </is>
      </c>
      <c r="AE29" s="136" t="n">
        <v>27</v>
      </c>
      <c r="AF29" t="inlineStr">
        <is>
          <t>Python Deck Container</t>
        </is>
      </c>
      <c r="AH29" s="136" t="n">
        <v>27</v>
      </c>
      <c r="AI29" t="inlineStr">
        <is>
          <t>Play</t>
        </is>
      </c>
    </row>
    <row r="30" ht="51" customHeight="1">
      <c r="A30" s="136" t="n">
        <v>2</v>
      </c>
      <c r="B30" s="136" t="inlineStr">
        <is>
          <t>Asset Synoptics</t>
        </is>
      </c>
      <c r="C30" s="136" t="inlineStr">
        <is>
          <t>Description of the asset is provided</t>
        </is>
      </c>
      <c r="D30" s="136" t="inlineStr">
        <is>
          <t>Description of the asset is not provided</t>
        </is>
      </c>
      <c r="Q30" s="165" t="n">
        <v>26</v>
      </c>
      <c r="R30" s="160" t="inlineStr">
        <is>
          <t>Response Times - Batch Jobs – Requirements</t>
        </is>
      </c>
      <c r="S30" s="160" t="inlineStr">
        <is>
          <t>Expected count of records processed</t>
        </is>
      </c>
      <c r="T30" s="161" t="inlineStr">
        <is>
          <t>Expected count of records processed</t>
        </is>
      </c>
      <c r="U30" s="160" t="inlineStr">
        <is>
          <t>Expected count of records processed must be a numeric integer value.</t>
        </is>
      </c>
      <c r="V30" s="160" t="inlineStr">
        <is>
          <t>Expected count of records processed</t>
        </is>
      </c>
      <c r="W30" s="166" t="inlineStr">
        <is>
          <t>Expected count of records processed is not a numeric integer value.</t>
        </is>
      </c>
      <c r="X30" s="164" t="inlineStr">
        <is>
          <t>IF(ISNUMBER(G106), INT(G106)=G106, FALSE)</t>
        </is>
      </c>
      <c r="AB30" s="136" t="n">
        <v>28</v>
      </c>
      <c r="AC30" t="inlineStr">
        <is>
          <t>Redis</t>
        </is>
      </c>
      <c r="AE30" s="136" t="n">
        <v>28</v>
      </c>
      <c r="AF30" t="inlineStr">
        <is>
          <t>Spring Boot</t>
        </is>
      </c>
      <c r="AH30" s="136" t="n">
        <v>28</v>
      </c>
      <c r="AI30" t="inlineStr">
        <is>
          <t>Power BI</t>
        </is>
      </c>
    </row>
    <row r="31" ht="76.5" customHeight="1">
      <c r="A31" s="136" t="n">
        <v>3</v>
      </c>
      <c r="B31" s="136" t="inlineStr">
        <is>
          <t>Deployment Requirements</t>
        </is>
      </c>
      <c r="C31" s="136" t="inlineStr">
        <is>
          <t>Deployment Requirements are defined adequately</t>
        </is>
      </c>
      <c r="D31" s="136" t="inlineStr">
        <is>
          <t>Deployment Requirements are not defined adequately</t>
        </is>
      </c>
      <c r="Q31" s="165" t="n">
        <v>27</v>
      </c>
      <c r="R31" s="160" t="inlineStr">
        <is>
          <t>Response Times - Reports – Requirements</t>
        </is>
      </c>
      <c r="S31" s="160" t="inlineStr">
        <is>
          <t>Average size of data processed for the batch job in Mb</t>
        </is>
      </c>
      <c r="T31" s="161" t="inlineStr">
        <is>
          <t>Average size of data processed for the batch job in Mb</t>
        </is>
      </c>
      <c r="U31" s="166" t="inlineStr">
        <is>
          <t>Average size of data processed for the batch job in Mb must be a numeric integer or decimal value greater than 0.</t>
        </is>
      </c>
      <c r="V31" s="166" t="inlineStr">
        <is>
          <t>Average size of data processed for the batch job in Mb</t>
        </is>
      </c>
      <c r="W31" s="166" t="inlineStr">
        <is>
          <t>Average size of data processed for the batch job in Mb is neither a numeric integer or decimal value greater than 0, nor entered as "NA".</t>
        </is>
      </c>
      <c r="X31" s="135" t="inlineStr">
        <is>
          <t>Decimal &gt; 0</t>
        </is>
      </c>
      <c r="AB31" s="136" t="n">
        <v>29</v>
      </c>
      <c r="AC31" t="inlineStr">
        <is>
          <t>SQL Server</t>
        </is>
      </c>
      <c r="AE31" s="136" t="n">
        <v>29</v>
      </c>
      <c r="AF31" t="inlineStr">
        <is>
          <t>Spring Boot with embedded tomcat</t>
        </is>
      </c>
      <c r="AH31" s="136" t="n">
        <v>29</v>
      </c>
      <c r="AI31" t="inlineStr">
        <is>
          <t>React</t>
        </is>
      </c>
    </row>
    <row r="32" ht="76.5" customHeight="1">
      <c r="A32" s="136" t="n">
        <v>4</v>
      </c>
      <c r="B32" s="136" t="inlineStr">
        <is>
          <t>Software Stack - Information</t>
        </is>
      </c>
      <c r="C32" s="136" t="inlineStr">
        <is>
          <t>Software Stack - Information is defined adequately</t>
        </is>
      </c>
      <c r="D32" s="136" t="inlineStr">
        <is>
          <t>Software Stack - Information is not defined adequately</t>
        </is>
      </c>
      <c r="Q32" s="165" t="n">
        <v>28</v>
      </c>
      <c r="R32" s="160" t="inlineStr">
        <is>
          <t>Response Times - Batch Jobs – Requirements</t>
        </is>
      </c>
      <c r="S32" s="160" t="inlineStr">
        <is>
          <t>Where is the bulk of batch output Data written to -  DB or File?</t>
        </is>
      </c>
      <c r="T32" s="161" t="inlineStr">
        <is>
          <t>Where is the bulk of batch output Data written to -  DB or File?</t>
        </is>
      </c>
      <c r="U32" s="166" t="inlineStr">
        <is>
          <t>Select an appropriate batch output destination (File/ DB)</t>
        </is>
      </c>
      <c r="V32" s="160" t="inlineStr">
        <is>
          <t>Where is the bulk of batch output Data written to -  DB or File?</t>
        </is>
      </c>
      <c r="W32" s="166" t="inlineStr">
        <is>
          <t>Batch output destination is not selected</t>
        </is>
      </c>
      <c r="X32" s="135" t="inlineStr">
        <is>
          <t>Dropdown list (File/ DB) is provided in the data validation directly.</t>
        </is>
      </c>
      <c r="AB32" s="136" t="n">
        <v>30</v>
      </c>
      <c r="AC32" t="inlineStr">
        <is>
          <t>SQLite</t>
        </is>
      </c>
      <c r="AE32" s="136" t="n">
        <v>30</v>
      </c>
      <c r="AF32" t="inlineStr">
        <is>
          <t>Spring Cloud</t>
        </is>
      </c>
      <c r="AH32" s="136" t="n">
        <v>30</v>
      </c>
      <c r="AI32" t="inlineStr">
        <is>
          <t>Tomcat</t>
        </is>
      </c>
    </row>
    <row r="33" ht="63.75" customHeight="1">
      <c r="A33" s="136" t="n">
        <v>5</v>
      </c>
      <c r="B33" s="136" t="inlineStr">
        <is>
          <t>Software Stack - Information</t>
        </is>
      </c>
      <c r="C33" s="136" t="inlineStr">
        <is>
          <t>Version information is defined adequately</t>
        </is>
      </c>
      <c r="D33" s="136" t="inlineStr">
        <is>
          <t>Version information is not defined adequately</t>
        </is>
      </c>
      <c r="Q33" s="165" t="n">
        <v>29</v>
      </c>
      <c r="R33" s="160" t="inlineStr">
        <is>
          <t>Response Times - Batch Jobs – Requirements</t>
        </is>
      </c>
      <c r="S33" s="160" t="inlineStr">
        <is>
          <t>% Growth in size - Year 3</t>
        </is>
      </c>
      <c r="T33" s="161" t="inlineStr">
        <is>
          <t>% Growth in size - Year 3</t>
        </is>
      </c>
      <c r="U33" s="160" t="inlineStr">
        <is>
          <t>% Growth in size - Year 3 is not a mandatory field. If known, provide its value as a whole number, else  enter "NA".</t>
        </is>
      </c>
      <c r="V33" s="160" t="inlineStr">
        <is>
          <t>% Growth in size - Year 3</t>
        </is>
      </c>
      <c r="W33" s="166" t="inlineStr">
        <is>
          <t>% Growth in size - Year 3 is neither a whole number, nor entered as "NA".</t>
        </is>
      </c>
      <c r="X33" s="164" t="inlineStr">
        <is>
          <t>IF(ISNUMBER(J106), IF(INT(J106)=J106, TRUE, FALSE), IF(J106="NA", TRUE, FALSE))</t>
        </is>
      </c>
      <c r="AB33" s="136" t="n">
        <v>31</v>
      </c>
      <c r="AE33" s="136" t="n">
        <v>31</v>
      </c>
      <c r="AF33" t="inlineStr">
        <is>
          <t>Tomcat</t>
        </is>
      </c>
      <c r="AH33" s="136" t="n">
        <v>31</v>
      </c>
      <c r="AI33" t="inlineStr">
        <is>
          <t>UVICORN</t>
        </is>
      </c>
    </row>
    <row r="34" ht="63.75" customHeight="1">
      <c r="A34" s="136" t="n">
        <v>6</v>
      </c>
      <c r="B34" s="136" t="inlineStr">
        <is>
          <t>User Types – Requirements</t>
        </is>
      </c>
      <c r="C34" s="136" t="inlineStr">
        <is>
          <t>User Types – Requirements are defined adequately</t>
        </is>
      </c>
      <c r="D34" s="136" t="inlineStr">
        <is>
          <t>User Types – Requirements are not defined adequately</t>
        </is>
      </c>
      <c r="Q34" s="165" t="n">
        <v>30</v>
      </c>
      <c r="R34" s="160" t="inlineStr">
        <is>
          <t>Response Times - Batch Jobs – Requirements</t>
        </is>
      </c>
      <c r="S34" s="160" t="inlineStr">
        <is>
          <t>% Growth in size - Year 5</t>
        </is>
      </c>
      <c r="T34" s="161" t="inlineStr">
        <is>
          <t>% Growth in size - Year 5</t>
        </is>
      </c>
      <c r="U34" s="160" t="inlineStr">
        <is>
          <t>% Growth in size - Year 5 is not a mandatory field. If known, provide its value as a whole number, else  enter "NA".</t>
        </is>
      </c>
      <c r="V34" s="160" t="inlineStr">
        <is>
          <t>% Growth in size - Year 5</t>
        </is>
      </c>
      <c r="W34" s="166" t="inlineStr">
        <is>
          <t>% Growth in size - Year 5 is neither a whole number, nor entered as "NA".</t>
        </is>
      </c>
      <c r="X34" s="164" t="inlineStr">
        <is>
          <t>IF(ISNUMBER(K106), IF(INT(K106)=K106, TRUE, FALSE), IF(K106="NA", TRUE, FALSE))</t>
        </is>
      </c>
      <c r="AB34" s="136" t="n">
        <v>32</v>
      </c>
      <c r="AE34" s="136" t="n">
        <v>32</v>
      </c>
      <c r="AF34" t="inlineStr">
        <is>
          <t>Tomcat(Embedded in Spring Boot itself)</t>
        </is>
      </c>
      <c r="AH34" s="136" t="n">
        <v>32</v>
      </c>
    </row>
    <row r="35" ht="114.75" customHeight="1">
      <c r="A35" s="136" t="n">
        <v>7</v>
      </c>
      <c r="B35" s="136" t="inlineStr">
        <is>
          <t>Channels - Information</t>
        </is>
      </c>
      <c r="C35" s="136" t="inlineStr">
        <is>
          <t>Channels - Information is defined adequately</t>
        </is>
      </c>
      <c r="D35" s="136" t="inlineStr">
        <is>
          <t>Channels - Information is not defined adequately</t>
        </is>
      </c>
      <c r="Q35" s="165" t="n">
        <v>31</v>
      </c>
      <c r="R35" s="160" t="inlineStr">
        <is>
          <t>Response Times - Reports – Requirements</t>
        </is>
      </c>
      <c r="S35" s="160" t="inlineStr">
        <is>
          <t>Report Description</t>
        </is>
      </c>
      <c r="T35" s="161" t="inlineStr">
        <is>
          <t>Report Description</t>
        </is>
      </c>
      <c r="U35" s="166" t="inlineStr">
        <is>
          <t xml:space="preserve">Provide the report description - text value of length greater than or equal to 5 is allowed. If the field is left blank, the corresponding row will not be considered part of the requirement.
</t>
        </is>
      </c>
      <c r="V35" s="166" t="inlineStr">
        <is>
          <t>Report Description</t>
        </is>
      </c>
      <c r="W35" s="166" t="inlineStr">
        <is>
          <t>The report description is not a text value complying to the character length constraints.</t>
        </is>
      </c>
      <c r="X35" s="164" t="inlineStr">
        <is>
          <t>AND(ISTEXT(C114),LEN(C114)&gt;=5)</t>
        </is>
      </c>
      <c r="AB35" s="136" t="n">
        <v>33</v>
      </c>
      <c r="AE35" s="136" t="n">
        <v>33</v>
      </c>
      <c r="AF35" t="inlineStr">
        <is>
          <t>UVICORN</t>
        </is>
      </c>
      <c r="AH35" s="136" t="n">
        <v>33</v>
      </c>
    </row>
    <row r="36" ht="38.25" customHeight="1">
      <c r="A36" s="136" t="n">
        <v>8</v>
      </c>
      <c r="B36" s="136" t="inlineStr">
        <is>
          <t>Response Times - Online Txns – Requirements</t>
        </is>
      </c>
      <c r="C36" s="136" t="inlineStr">
        <is>
          <t>Transaction Description is provided</t>
        </is>
      </c>
      <c r="D36" s="136" t="inlineStr">
        <is>
          <t>Transaction Description is not provided</t>
        </is>
      </c>
      <c r="Q36" s="165" t="n">
        <v>32</v>
      </c>
      <c r="R36" s="160" t="inlineStr">
        <is>
          <t>Response Times - Reports – Requirements</t>
        </is>
      </c>
      <c r="S36" s="160" t="inlineStr">
        <is>
          <t>Report type (adhoc/scheduled)</t>
        </is>
      </c>
      <c r="T36" s="161" t="inlineStr">
        <is>
          <t>Report type</t>
        </is>
      </c>
      <c r="U36" s="166" t="inlineStr">
        <is>
          <t>Select an appropriate report type (Scheduled/ Adhoc)</t>
        </is>
      </c>
      <c r="V36" s="166" t="inlineStr">
        <is>
          <t>Report type</t>
        </is>
      </c>
      <c r="W36" s="166" t="inlineStr">
        <is>
          <t>Report type is not selected</t>
        </is>
      </c>
      <c r="X36" s="135" t="inlineStr">
        <is>
          <t>Dropdown list (adhoc/scheduled) is provided in the data validation directly.</t>
        </is>
      </c>
      <c r="AE36" s="136" t="n">
        <v>34</v>
      </c>
      <c r="AF36" t="inlineStr">
        <is>
          <t>Wildfly</t>
        </is>
      </c>
    </row>
    <row r="37" ht="25.5" customHeight="1">
      <c r="A37" s="136" t="n">
        <v>9</v>
      </c>
      <c r="B37" s="136" t="inlineStr">
        <is>
          <t>Response Times - Online Txns – Requirements</t>
        </is>
      </c>
      <c r="C37" s="136" t="inlineStr">
        <is>
          <t>SLA for 90th Percentile Response Time (Sec) of requests is declared</t>
        </is>
      </c>
      <c r="D37" s="136" t="inlineStr">
        <is>
          <t>SLA for 90th Percentile Response Time (Sec) of requests is not declared</t>
        </is>
      </c>
      <c r="G37" s="136" t="inlineStr">
        <is>
          <t>Sl. No.</t>
        </is>
      </c>
      <c r="H37" s="136" t="inlineStr">
        <is>
          <t>Database</t>
        </is>
      </c>
      <c r="J37" s="136" t="inlineStr">
        <is>
          <t>Sl. No.</t>
        </is>
      </c>
      <c r="K37" s="136" t="inlineStr">
        <is>
          <t>Approval Status</t>
        </is>
      </c>
      <c r="Q37" s="165" t="n">
        <v>33</v>
      </c>
      <c r="R37" s="160" t="inlineStr">
        <is>
          <t>Response Times - Reports – Requirements</t>
        </is>
      </c>
      <c r="S37" s="160" t="inlineStr">
        <is>
          <t>SLA</t>
        </is>
      </c>
      <c r="T37" s="161" t="inlineStr">
        <is>
          <t>SLA</t>
        </is>
      </c>
      <c r="U37" s="166" t="inlineStr">
        <is>
          <t>SLA must be numeric integer value.</t>
        </is>
      </c>
      <c r="V37" s="160" t="inlineStr">
        <is>
          <t>SLA</t>
        </is>
      </c>
      <c r="W37" s="166" t="inlineStr">
        <is>
          <t>SLA is not a numeric integer value.</t>
        </is>
      </c>
      <c r="X37" s="164" t="inlineStr">
        <is>
          <t>OR(E114="", INT(E114)=E114)</t>
        </is>
      </c>
      <c r="AE37" s="136" t="n">
        <v>35</v>
      </c>
    </row>
    <row r="38" ht="72" customHeight="1">
      <c r="A38" s="136" t="n">
        <v>10</v>
      </c>
      <c r="B38" s="136" t="inlineStr">
        <is>
          <t>Response Times - Online Txns – Requirements</t>
        </is>
      </c>
      <c r="C38" s="136" t="inlineStr">
        <is>
          <t>USLA for 90th Percentile Response Time (Sec) of requests is declared</t>
        </is>
      </c>
      <c r="D38" s="136" t="inlineStr">
        <is>
          <t>USLA for 90th Percentile Response Time (Sec) of requests is not declared</t>
        </is>
      </c>
      <c r="G38" s="136" t="n">
        <v>1</v>
      </c>
      <c r="H38" s="136" t="inlineStr">
        <is>
          <t>Postgres</t>
        </is>
      </c>
      <c r="J38" s="136" t="n">
        <v>1</v>
      </c>
      <c r="K38" s="136" t="inlineStr">
        <is>
          <t>Approved</t>
        </is>
      </c>
      <c r="Q38" s="165" t="n">
        <v>34</v>
      </c>
      <c r="R38" s="160" t="inlineStr">
        <is>
          <t>Response Times - Reports – Requirements</t>
        </is>
      </c>
      <c r="S38" s="160" t="inlineStr">
        <is>
          <t>Average Report generation per hour</t>
        </is>
      </c>
      <c r="T38" s="161" t="inlineStr">
        <is>
          <t>USLA</t>
        </is>
      </c>
      <c r="U38" s="166" t="inlineStr">
        <is>
          <t>USLA must be a numeric integer value greater than or equal to SLA.</t>
        </is>
      </c>
      <c r="V38" s="160" t="inlineStr">
        <is>
          <t>USLA</t>
        </is>
      </c>
      <c r="W38" s="166" t="inlineStr">
        <is>
          <t>USLA is neither a numeric integer value, nor is it greater than or equal to SLA.</t>
        </is>
      </c>
      <c r="X38" s="135" t="inlineStr">
        <is>
          <t>Whole number &gt;= SLA</t>
        </is>
      </c>
      <c r="AE38" s="136" t="n">
        <v>36</v>
      </c>
    </row>
    <row r="39" ht="63.75" customHeight="1">
      <c r="A39" s="136" t="n">
        <v>11</v>
      </c>
      <c r="B39" s="136" t="inlineStr">
        <is>
          <t>Response Times - Online Txns – Requirements</t>
        </is>
      </c>
      <c r="C39" s="136" t="inlineStr">
        <is>
          <t>USLA for 90th Percentile Response Time (Sec) is set adequately</t>
        </is>
      </c>
      <c r="D39" s="136" t="inlineStr">
        <is>
          <t>USLA for 90th Percentile Response Time (Sec) is not set properly</t>
        </is>
      </c>
      <c r="G39" s="136" t="n">
        <v>2</v>
      </c>
      <c r="H39" s="136" t="inlineStr">
        <is>
          <t>Oracle</t>
        </is>
      </c>
      <c r="J39" s="136" t="n">
        <v>2</v>
      </c>
      <c r="K39" s="136" t="inlineStr">
        <is>
          <t>Not Approved</t>
        </is>
      </c>
      <c r="Q39" s="165" t="n">
        <v>35</v>
      </c>
      <c r="R39" s="160" t="inlineStr">
        <is>
          <t>Response Times - Reports – Requirements</t>
        </is>
      </c>
      <c r="S39" s="160" t="inlineStr">
        <is>
          <t>Average Report generation per hour</t>
        </is>
      </c>
      <c r="T39" s="161" t="inlineStr">
        <is>
          <t>Average Report generation per hour</t>
        </is>
      </c>
      <c r="U39" s="166" t="inlineStr">
        <is>
          <t>For Average Report generation per hour provide its value as a whole number, else  enter "NA".</t>
        </is>
      </c>
      <c r="V39" s="160" t="inlineStr">
        <is>
          <t>Average Report generation per hour</t>
        </is>
      </c>
      <c r="W39" s="166" t="inlineStr">
        <is>
          <t>Average Report generation per hour is neither a whole number, nor entered as "NA".</t>
        </is>
      </c>
      <c r="X39" s="164" t="inlineStr">
        <is>
          <t>IF(ISNUMBER(G114), IF(INT(G114)=G114, TRUE, FALSE), IF(G114="NA", TRUE, FALSE))</t>
        </is>
      </c>
    </row>
    <row r="40" ht="51" customHeight="1">
      <c r="A40" s="136" t="n">
        <v>12</v>
      </c>
      <c r="B40" s="136" t="inlineStr">
        <is>
          <t>Response Times - Online Txns – Requirements</t>
        </is>
      </c>
      <c r="C40" s="136" t="inlineStr">
        <is>
          <t>Number of concurrent users data is a numeric integer value</t>
        </is>
      </c>
      <c r="D40" s="136" t="inlineStr">
        <is>
          <t>Number of concurrent users data is not a numeric integer value</t>
        </is>
      </c>
      <c r="G40" s="136" t="n">
        <v>3</v>
      </c>
      <c r="H40" s="136" t="inlineStr">
        <is>
          <t>MySQL</t>
        </is>
      </c>
      <c r="J40" s="136" t="n">
        <v>3</v>
      </c>
      <c r="K40" s="136" t="inlineStr">
        <is>
          <t>Conditionally Approved</t>
        </is>
      </c>
      <c r="Q40" s="165" t="n">
        <v>36</v>
      </c>
      <c r="R40" s="160" t="inlineStr">
        <is>
          <t>Response Times - Reports – Requirements</t>
        </is>
      </c>
      <c r="S40" s="160" t="inlineStr">
        <is>
          <t>Number of records in the input data set of the report</t>
        </is>
      </c>
      <c r="T40" s="161" t="n"/>
      <c r="U40" s="166" t="n"/>
      <c r="V40" s="160" t="n"/>
      <c r="W40" s="166" t="n"/>
      <c r="X40" s="135" t="inlineStr">
        <is>
          <t>No validation</t>
        </is>
      </c>
    </row>
    <row r="41" ht="51" customHeight="1">
      <c r="A41" s="136" t="n">
        <v>13</v>
      </c>
      <c r="B41" s="136" t="inlineStr">
        <is>
          <t>Response Times - Online Txns – Requirements</t>
        </is>
      </c>
      <c r="C41" s="136" t="inlineStr">
        <is>
          <t>Number of concurrent users is distributed properly</t>
        </is>
      </c>
      <c r="D41" s="136" t="inlineStr">
        <is>
          <t>Number of concurrent users is not distributed properly</t>
        </is>
      </c>
      <c r="G41" s="136" t="n">
        <v>4</v>
      </c>
      <c r="H41" s="136" t="inlineStr">
        <is>
          <t>DB2</t>
        </is>
      </c>
      <c r="J41" s="136" t="n">
        <v>4</v>
      </c>
      <c r="K41" s="136" t="inlineStr">
        <is>
          <t>Fully Approved</t>
        </is>
      </c>
      <c r="Q41" s="165" t="n">
        <v>37</v>
      </c>
      <c r="R41" s="160" t="inlineStr">
        <is>
          <t>Response Times - Reports – Requirements</t>
        </is>
      </c>
      <c r="S41" s="160" t="inlineStr">
        <is>
          <t>Number of records in the output data set of the report</t>
        </is>
      </c>
      <c r="T41" s="161" t="n"/>
      <c r="U41" s="166" t="n"/>
      <c r="V41" s="160" t="n"/>
      <c r="W41" s="166" t="n"/>
      <c r="X41" s="135" t="inlineStr">
        <is>
          <t>No validation</t>
        </is>
      </c>
    </row>
    <row r="42" ht="64.5" customHeight="1">
      <c r="A42" s="136" t="n">
        <v>14</v>
      </c>
      <c r="B42" s="136" t="inlineStr">
        <is>
          <t>Response Times - Online Txns – Requirements</t>
        </is>
      </c>
      <c r="C42" s="136" t="inlineStr">
        <is>
          <t>90th Percentile is above 5 secs, and rationale for the same is provided</t>
        </is>
      </c>
      <c r="D42" s="170" t="inlineStr">
        <is>
          <t>90th Percentile is above 5 secs, and rationale for the same is not provided</t>
        </is>
      </c>
      <c r="G42" s="136" t="n">
        <v>5</v>
      </c>
      <c r="H42" s="136" t="inlineStr">
        <is>
          <t>SQL Server</t>
        </is>
      </c>
      <c r="Q42" s="165" t="n">
        <v>38</v>
      </c>
      <c r="R42" s="160" t="inlineStr">
        <is>
          <t>Response Times - Reports – Requirements</t>
        </is>
      </c>
      <c r="S42" s="160" t="inlineStr">
        <is>
          <t>Average size of Report data generated in Mb</t>
        </is>
      </c>
      <c r="T42" s="161" t="inlineStr">
        <is>
          <t>Average size of Report data generated in Mb</t>
        </is>
      </c>
      <c r="U42" s="166" t="inlineStr">
        <is>
          <t>Average size of Report data generated in Mb must be a numeric integer or decimal value greater than 0.</t>
        </is>
      </c>
      <c r="V42" s="160" t="inlineStr">
        <is>
          <t>Average size of Report data generated in Mb</t>
        </is>
      </c>
      <c r="W42" s="166" t="inlineStr">
        <is>
          <t>Average size of Report data generated in Mb is neither a numeric integer or decimal value greater than 0, nor entered as "NA".</t>
        </is>
      </c>
      <c r="X42" s="135" t="inlineStr">
        <is>
          <t>Decimal &gt; 0</t>
        </is>
      </c>
    </row>
    <row r="43" ht="51" customHeight="1">
      <c r="A43" s="136" t="n">
        <v>15</v>
      </c>
      <c r="B43" s="136" t="inlineStr">
        <is>
          <t xml:space="preserve">Response Times - Batch Jobs – Requirements </t>
        </is>
      </c>
      <c r="C43" s="136" t="inlineStr">
        <is>
          <t>Time for completion of batch job is set at or above the standard threshold of 1 min</t>
        </is>
      </c>
      <c r="D43" s="136" t="inlineStr">
        <is>
          <t>Time for completion of batch job is set below the standard threshold of 1 min</t>
        </is>
      </c>
      <c r="Q43" s="165" t="n">
        <v>39</v>
      </c>
      <c r="R43" s="160" t="inlineStr">
        <is>
          <t>Response Times - Reports – Requirements</t>
        </is>
      </c>
      <c r="S43" s="160" t="inlineStr">
        <is>
          <t># of Concurrent Report users</t>
        </is>
      </c>
      <c r="T43" s="161" t="inlineStr">
        <is>
          <t># of Concurrent Report users</t>
        </is>
      </c>
      <c r="U43" s="166" t="inlineStr">
        <is>
          <t># of Concurrent Report users must be a numeric integer value, or it can be left blank.</t>
        </is>
      </c>
      <c r="V43" s="160" t="inlineStr">
        <is>
          <t># of Concurrent Report users</t>
        </is>
      </c>
      <c r="W43" s="166" t="inlineStr">
        <is>
          <t># of Concurrent Report users is neither a numeric integer value nor blank.</t>
        </is>
      </c>
      <c r="X43" s="164" t="inlineStr">
        <is>
          <t>OR(K114="", IF(AND(ISNUMBER(K114),K114&lt;&gt;0), INT(K114)=K114, FALSE))</t>
        </is>
      </c>
    </row>
    <row r="44" ht="76.5" customHeight="1">
      <c r="A44" s="136" t="n">
        <v>16</v>
      </c>
      <c r="B44" s="136" t="inlineStr">
        <is>
          <t>Response Times - Reports – Requirements</t>
        </is>
      </c>
      <c r="C44" s="136" t="inlineStr">
        <is>
          <t>Report type of the report is set adequately</t>
        </is>
      </c>
      <c r="D44" s="136" t="inlineStr">
        <is>
          <t>Report type of the report is not set adequately</t>
        </is>
      </c>
      <c r="Q44" s="165" t="n">
        <v>40</v>
      </c>
      <c r="R44" s="160" t="inlineStr">
        <is>
          <t>Response Times - Reports – Requirements</t>
        </is>
      </c>
      <c r="S44" s="160" t="inlineStr">
        <is>
          <t>%Growth in record count or size - Year 3</t>
        </is>
      </c>
      <c r="T44" s="161" t="inlineStr">
        <is>
          <t>%Growth in record count or size - Year 3</t>
        </is>
      </c>
      <c r="U44" s="160" t="inlineStr">
        <is>
          <t>%Growth in record count or size - Year 3 is not a mandatory field. If known, provide its value as a whole number, else  enter "NA".</t>
        </is>
      </c>
      <c r="V44" s="160" t="inlineStr">
        <is>
          <t>%Growth in record count or size - Year 3</t>
        </is>
      </c>
      <c r="W44" s="166" t="inlineStr">
        <is>
          <t>%Growth in record count or size - Year 3 is neither a whole number, nor entered as "NA".</t>
        </is>
      </c>
      <c r="X44" s="164" t="inlineStr">
        <is>
          <t>IF(ISNUMBER(L114), IF(INT(L114)=L114, TRUE, FALSE), IF(L114="NA", TRUE, FALSE))</t>
        </is>
      </c>
    </row>
    <row r="45" ht="76.5" customHeight="1">
      <c r="A45" s="136" t="n">
        <v>17</v>
      </c>
      <c r="B45" s="136" t="inlineStr">
        <is>
          <t>Response Times - Data – Requirements</t>
        </is>
      </c>
      <c r="C45" s="136" t="inlineStr">
        <is>
          <t>Response Times - Data - Requirements are defined adequately</t>
        </is>
      </c>
      <c r="D45" s="136" t="inlineStr">
        <is>
          <t>Response Times - Data - Requirements are not defined adequately</t>
        </is>
      </c>
      <c r="E45" s="136" t="inlineStr">
        <is>
          <t>Response Times - Data - Requirements are not defined adequately (Estimated records column range is blank)</t>
        </is>
      </c>
      <c r="F45" s="136" t="inlineStr">
        <is>
          <t>Response Times - Data - Requirements are not defined adequately (Table size is not a number)</t>
        </is>
      </c>
      <c r="G45" s="136" t="inlineStr">
        <is>
          <t>Response Times - Data - Requirements are not defined adequately (Table size upper limit is not a number)</t>
        </is>
      </c>
      <c r="H45" s="136" t="inlineStr">
        <is>
          <t>Response Times - Data - Requirements are not defined adequately (Table size upper limit is less than current table size)</t>
        </is>
      </c>
      <c r="I45" s="136" t="inlineStr">
        <is>
          <t>Response Times - Data - Requirements are not defined adequately (Estimated records is less than 100, and rationale for the same is not provided)</t>
        </is>
      </c>
      <c r="J45" s="136" t="inlineStr">
        <is>
          <t>Response Times - Data - Requirements are not defined adequately (Avoid duplicate table names)</t>
        </is>
      </c>
      <c r="K45" s="136" t="inlineStr">
        <is>
          <t>No need to fill Response Times - Data - Requirements since there is no db entries in Software stack requirements table</t>
        </is>
      </c>
      <c r="Q45" s="165" t="n">
        <v>41</v>
      </c>
      <c r="R45" s="160" t="inlineStr">
        <is>
          <t>Response Times - Reports – Requirements</t>
        </is>
      </c>
      <c r="S45" s="160" t="inlineStr">
        <is>
          <t>%Growth in record count or size - Year 5</t>
        </is>
      </c>
      <c r="T45" s="161" t="inlineStr">
        <is>
          <t>%Growth in record count or size - Year 5</t>
        </is>
      </c>
      <c r="U45" s="160" t="inlineStr">
        <is>
          <t>%Growth in record count or size - Year 5 is not a mandatory field. If known, provide its value as a whole number, else  enter "NA".</t>
        </is>
      </c>
      <c r="V45" s="160" t="inlineStr">
        <is>
          <t>%Growth in record count or size - Year 5</t>
        </is>
      </c>
      <c r="W45" s="166" t="inlineStr">
        <is>
          <t>%Growth in record count or size - Year 5 is neither a whole number, nor entered as "NA".</t>
        </is>
      </c>
      <c r="X45" s="164" t="inlineStr">
        <is>
          <t>IF(ISNUMBER(M114), IF(INT(M114)=M114, TRUE, FALSE), IF(M114="NA", TRUE, FALSE))</t>
        </is>
      </c>
    </row>
    <row r="46" ht="38.25" customHeight="1">
      <c r="A46" s="136" t="n">
        <v>18</v>
      </c>
      <c r="B46" s="136" t="inlineStr">
        <is>
          <t>Data Management – Requirements</t>
        </is>
      </c>
      <c r="C46" s="136" t="inlineStr">
        <is>
          <t>Data Management – Requirements are defined adequately</t>
        </is>
      </c>
      <c r="D46" s="136" t="inlineStr">
        <is>
          <t>Data Management – Requirements are not defined adequately</t>
        </is>
      </c>
      <c r="Q46" s="165" t="n">
        <v>42</v>
      </c>
      <c r="R46" s="160" t="inlineStr">
        <is>
          <t>Response Times - Data – Requirements</t>
        </is>
      </c>
      <c r="S46" s="161" t="inlineStr">
        <is>
          <t>Transaction Description (either Online, Batch, or Report)</t>
        </is>
      </c>
      <c r="T46" s="136" t="inlineStr">
        <is>
          <t>Transaction Description (either Online, Batch, or Report)</t>
        </is>
      </c>
      <c r="U46" s="136" t="inlineStr">
        <is>
          <t>Select an appropriate transaction description (either online, batch or report)</t>
        </is>
      </c>
      <c r="V46" s="136" t="inlineStr">
        <is>
          <t>Transaction Description (either Online, Batch, or Report)</t>
        </is>
      </c>
      <c r="W46" s="135" t="inlineStr">
        <is>
          <t>Transaction description is not selected</t>
        </is>
      </c>
      <c r="X46" s="135" t="inlineStr">
        <is>
          <t>Dropdown list (online/ batch/ report) is provided in the data validation directly.</t>
        </is>
      </c>
    </row>
    <row r="47" ht="102" customHeight="1">
      <c r="A47" s="136" t="n">
        <v>19</v>
      </c>
      <c r="B47" s="136" t="inlineStr">
        <is>
          <t>Resource Utilization – Requirements</t>
        </is>
      </c>
      <c r="C47" s="136" t="inlineStr">
        <is>
          <t>CPU Utilization requirement is within the healthy threshold</t>
        </is>
      </c>
      <c r="D47" s="136" t="inlineStr">
        <is>
          <t>CPU Utilization requirement exceeds the healthy threshold</t>
        </is>
      </c>
      <c r="Q47" s="165" t="n">
        <v>43</v>
      </c>
      <c r="R47" s="160" t="inlineStr">
        <is>
          <t>Response Times - Data – Requirements</t>
        </is>
      </c>
      <c r="S47" s="160" t="inlineStr">
        <is>
          <t>Tables accessed for the performance critical transactions (Online, Batch, or Report)</t>
        </is>
      </c>
      <c r="T47" s="171" t="inlineStr">
        <is>
          <t>Table accessed</t>
        </is>
      </c>
      <c r="U47" s="172" t="inlineStr">
        <is>
          <t>Provide the name of table accessed - text value of length greater than or equal to 5 is allowed. If the field is left blank, the corresponding row will not be considered part of the requirement.</t>
        </is>
      </c>
      <c r="V47" s="171" t="inlineStr">
        <is>
          <t>Table accessed</t>
        </is>
      </c>
      <c r="W47" s="172" t="inlineStr">
        <is>
          <t>The name of table accessed is not a text value complying to the character length constraints.</t>
        </is>
      </c>
      <c r="X47" s="164" t="inlineStr">
        <is>
          <t>AND(ISTEXT(D122),LEN(D122)&gt;=5)</t>
        </is>
      </c>
    </row>
    <row r="48" ht="51" customHeight="1">
      <c r="A48" s="136" t="n">
        <v>20</v>
      </c>
      <c r="B48" s="136" t="inlineStr">
        <is>
          <t>Resource Utilization – Requirements</t>
        </is>
      </c>
      <c r="C48" s="136" t="inlineStr">
        <is>
          <t>Memory Utilization requirement is within the healthy threshold</t>
        </is>
      </c>
      <c r="D48" s="136" t="inlineStr">
        <is>
          <t>Memory Utilization requirement exceeds the healthy threshold</t>
        </is>
      </c>
      <c r="G48" s="136" t="inlineStr">
        <is>
          <t>Sl. No.</t>
        </is>
      </c>
      <c r="H48" s="136" t="inlineStr">
        <is>
          <t>Programming Language</t>
        </is>
      </c>
      <c r="J48" s="136" t="inlineStr">
        <is>
          <t>Sl. No.</t>
        </is>
      </c>
      <c r="K48" s="136" t="inlineStr">
        <is>
          <t>Deployment Category</t>
        </is>
      </c>
      <c r="Q48" s="165" t="n">
        <v>44</v>
      </c>
      <c r="R48" s="160" t="inlineStr">
        <is>
          <t>Response Times - Data – Requirements</t>
        </is>
      </c>
      <c r="S48" s="160" t="inlineStr">
        <is>
          <t>Estimated No. Of Records per table</t>
        </is>
      </c>
      <c r="T48" s="171" t="inlineStr">
        <is>
          <t>Estimated No. Of Records per table</t>
        </is>
      </c>
      <c r="U48" s="172" t="inlineStr">
        <is>
          <t>Estimated No. Of Records per table must be a numeric integer value.</t>
        </is>
      </c>
      <c r="V48" s="173" t="inlineStr">
        <is>
          <t>Estimated No. Of Records per table</t>
        </is>
      </c>
      <c r="W48" s="172" t="inlineStr">
        <is>
          <t>Estimated No. Of Records per table is not a numeric integer value.</t>
        </is>
      </c>
      <c r="X48" s="164" t="inlineStr">
        <is>
          <t>OR(E122="NA", IF(ISNUMBER(E122), INT(E122)=E122, FALSE))</t>
        </is>
      </c>
    </row>
    <row r="49" ht="51" customHeight="1">
      <c r="A49" s="136" t="n">
        <v>21</v>
      </c>
      <c r="B49" s="136" t="inlineStr">
        <is>
          <t>Global</t>
        </is>
      </c>
      <c r="C49" s="136" t="inlineStr">
        <is>
          <t xml:space="preserve">Application type is distributed web-based data centric </t>
        </is>
      </c>
      <c r="D49" s="136" t="inlineStr">
        <is>
          <t>Application type is not distributed web-based data centric</t>
        </is>
      </c>
      <c r="G49" s="136" t="n">
        <v>1</v>
      </c>
      <c r="H49" s="136" t="inlineStr">
        <is>
          <t>Java</t>
        </is>
      </c>
      <c r="J49" s="136" t="n">
        <v>1</v>
      </c>
      <c r="K49" s="136" t="inlineStr">
        <is>
          <t>Standalone Desktop</t>
        </is>
      </c>
      <c r="Q49" s="165" t="n">
        <v>45</v>
      </c>
      <c r="R49" s="160" t="inlineStr">
        <is>
          <t>Response Times - Data – Requirements</t>
        </is>
      </c>
      <c r="S49" s="160" t="inlineStr">
        <is>
          <t>Table size in MB</t>
        </is>
      </c>
      <c r="T49" s="171" t="inlineStr">
        <is>
          <t>Table size in MB</t>
        </is>
      </c>
      <c r="U49" s="172" t="inlineStr">
        <is>
          <t>Table size in MB must be a numeric integer or decimal value greater than 0.</t>
        </is>
      </c>
      <c r="V49" s="173" t="inlineStr">
        <is>
          <t>Table size in MB</t>
        </is>
      </c>
      <c r="W49" s="172" t="inlineStr">
        <is>
          <t>Table size in MB is neither a numeric integer nor a decimal value greater than 0.</t>
        </is>
      </c>
      <c r="X49" s="135" t="inlineStr">
        <is>
          <t>Decimal &gt; 0</t>
        </is>
      </c>
    </row>
    <row r="50" ht="51" customHeight="1">
      <c r="A50" s="136" t="n">
        <v>22</v>
      </c>
      <c r="B50" s="136" t="inlineStr">
        <is>
          <t>Global</t>
        </is>
      </c>
      <c r="C50" s="136" t="inlineStr">
        <is>
          <t>Total concurrent users for peak load testing is within the limits for auto-approval</t>
        </is>
      </c>
      <c r="D50" s="136" t="inlineStr">
        <is>
          <t>Total concurrent users for peak load testing is not within the limits for auto-approval</t>
        </is>
      </c>
      <c r="G50" s="136" t="n">
        <v>2</v>
      </c>
      <c r="H50" s="136" t="inlineStr">
        <is>
          <t>Python</t>
        </is>
      </c>
      <c r="J50" s="136" t="n">
        <v>2</v>
      </c>
      <c r="K50" s="136" t="inlineStr">
        <is>
          <t>On-premise Web</t>
        </is>
      </c>
      <c r="Q50" s="165" t="n">
        <v>46</v>
      </c>
      <c r="R50" s="160" t="inlineStr">
        <is>
          <t>Response Times - Data – Requirements</t>
        </is>
      </c>
      <c r="S50" s="160" t="inlineStr">
        <is>
          <t>Upper limit for the table size</t>
        </is>
      </c>
      <c r="T50" s="171" t="inlineStr">
        <is>
          <t>Upper limit for the table size</t>
        </is>
      </c>
      <c r="U50" s="172" t="inlineStr">
        <is>
          <t>Upper limit for the table size must be a numeric integer or decimal value greater than 0.</t>
        </is>
      </c>
      <c r="V50" s="173" t="inlineStr">
        <is>
          <t>Upper limit for the table size</t>
        </is>
      </c>
      <c r="W50" s="172" t="inlineStr">
        <is>
          <t>Upper limit for the table size is neither a numeric integer nor a decimal value greater than 0.</t>
        </is>
      </c>
      <c r="X50" s="135" t="inlineStr">
        <is>
          <t>Decimal &gt; 0</t>
        </is>
      </c>
    </row>
    <row r="51" ht="25.5" customHeight="1">
      <c r="A51" s="136" t="n">
        <v>23</v>
      </c>
      <c r="B51" s="136" t="inlineStr">
        <is>
          <t>Global</t>
        </is>
      </c>
      <c r="C51" s="136" t="inlineStr">
        <is>
          <t>Conditions for auto-approval are met</t>
        </is>
      </c>
      <c r="D51" s="136" t="inlineStr">
        <is>
          <t>Consult with CoE for manual review and closure of gaps</t>
        </is>
      </c>
      <c r="J51" s="136" t="n">
        <v>3</v>
      </c>
      <c r="K51" s="136" t="inlineStr">
        <is>
          <t>Cloud</t>
        </is>
      </c>
      <c r="Q51" s="165" t="n">
        <v>47</v>
      </c>
      <c r="R51" s="160" t="inlineStr">
        <is>
          <t>Response Times - Data – Requirements</t>
        </is>
      </c>
      <c r="S51" s="160" t="inlineStr">
        <is>
          <t>Archival plans for this table?</t>
        </is>
      </c>
      <c r="T51" s="171" t="n"/>
      <c r="U51" s="173" t="n"/>
      <c r="V51" s="173" t="n"/>
      <c r="W51" s="172" t="n"/>
      <c r="X51" s="135" t="inlineStr">
        <is>
          <t>No validation</t>
        </is>
      </c>
    </row>
    <row r="52" ht="76.5" customHeight="1">
      <c r="A52" s="136" t="n">
        <v>24</v>
      </c>
      <c r="B52" s="136" t="inlineStr">
        <is>
          <t>User Types – Requirements</t>
        </is>
      </c>
      <c r="D52" s="207" t="inlineStr">
        <is>
          <t>User Types (col 'B')  and Total number of users (col 'C') for each User Type must be provided.</t>
        </is>
      </c>
      <c r="J52" s="136" t="n">
        <v>4</v>
      </c>
      <c r="K52" s="136" t="inlineStr">
        <is>
          <t>Others</t>
        </is>
      </c>
      <c r="Q52" s="165" t="n">
        <v>48</v>
      </c>
      <c r="R52" s="160" t="inlineStr">
        <is>
          <t>Response Times - Data – Requirements</t>
        </is>
      </c>
      <c r="S52" s="160" t="inlineStr">
        <is>
          <t>%Growth in record count or size- Year 3</t>
        </is>
      </c>
      <c r="T52" s="171" t="inlineStr">
        <is>
          <t>%Growth in record count or size- Year 3</t>
        </is>
      </c>
      <c r="U52" s="173" t="inlineStr">
        <is>
          <t>%Growth in record count or size- Year 3 is not a mandatory field. If known, provide its value as a whole number, else  enter "NA".</t>
        </is>
      </c>
      <c r="V52" s="173" t="inlineStr">
        <is>
          <t>%Growth in record count or size- Year 3</t>
        </is>
      </c>
      <c r="W52" s="172" t="inlineStr">
        <is>
          <t>%Growth in record count or size- Year 3 is neither a whole number, nor entered as "NA".</t>
        </is>
      </c>
      <c r="X52" s="164" t="inlineStr">
        <is>
          <t>IF(ISNUMBER(I122), IF(INT(I122)=I122, TRUE, FALSE), IF(I122="NA", TRUE, FALSE))</t>
        </is>
      </c>
    </row>
    <row r="53" ht="76.5" customHeight="1">
      <c r="A53" s="136" t="n">
        <v>25</v>
      </c>
      <c r="B53" s="136" t="inlineStr">
        <is>
          <t>User Types – Requirements</t>
        </is>
      </c>
      <c r="D53" s="207" t="inlineStr">
        <is>
          <t>Total number of users is not a numeric data</t>
        </is>
      </c>
      <c r="Q53" s="165" t="n">
        <v>49</v>
      </c>
      <c r="R53" s="160" t="inlineStr">
        <is>
          <t>Response Times - Data – Requirements</t>
        </is>
      </c>
      <c r="S53" s="160" t="inlineStr">
        <is>
          <t>%Growth in record count or size- Year 5</t>
        </is>
      </c>
      <c r="T53" s="171" t="inlineStr">
        <is>
          <t>%Growth in record count or size- Year 5</t>
        </is>
      </c>
      <c r="U53" s="173" t="inlineStr">
        <is>
          <t>%Growth in record count or size- Year 5 is not a mandatory field. If known, provide its value as a whole number, else  enter "NA".</t>
        </is>
      </c>
      <c r="V53" s="173" t="inlineStr">
        <is>
          <t>%Growth in record count or size- Year 5</t>
        </is>
      </c>
      <c r="W53" s="172" t="inlineStr">
        <is>
          <t>%Growth in record count or size- Year 5 is neither a whole number, nor entered as "NA".</t>
        </is>
      </c>
      <c r="X53" s="164" t="inlineStr">
        <is>
          <t>IF(ISNUMBER(J122), IF(INT(J122)=J122, TRUE, FALSE), IF(J122="NA", TRUE, FALSE))</t>
        </is>
      </c>
    </row>
    <row r="54" ht="25.5" customHeight="1">
      <c r="A54" s="136" t="n">
        <v>26</v>
      </c>
      <c r="B54" s="136" t="inlineStr">
        <is>
          <t>User Types – Requirements</t>
        </is>
      </c>
      <c r="D54" s="207" t="inlineStr">
        <is>
          <t>Total number of users at peak is not a numeric data</t>
        </is>
      </c>
      <c r="Q54" s="165" t="n">
        <v>50</v>
      </c>
      <c r="R54" s="160" t="inlineStr">
        <is>
          <t>Data Management – Requirements</t>
        </is>
      </c>
      <c r="S54" s="160" t="n"/>
      <c r="T54" s="161" t="n"/>
      <c r="U54" s="166" t="n"/>
      <c r="V54" s="160" t="n"/>
      <c r="W54" s="166" t="n"/>
      <c r="X54" s="135" t="inlineStr">
        <is>
          <t>No validation</t>
        </is>
      </c>
    </row>
    <row r="55" ht="25.5" customHeight="1">
      <c r="A55" s="136" t="n">
        <v>27</v>
      </c>
      <c r="B55" s="136" t="inlineStr">
        <is>
          <t>User Types – Requirements</t>
        </is>
      </c>
      <c r="D55" s="207" t="inlineStr">
        <is>
          <t>There are more concurrent users than allowed by the Total number of users set</t>
        </is>
      </c>
      <c r="Q55" s="165" t="n">
        <v>51</v>
      </c>
      <c r="R55" s="160" t="inlineStr">
        <is>
          <t>Resource Utilization – Requirements</t>
        </is>
      </c>
      <c r="S55" s="160" t="inlineStr">
        <is>
          <t>Requirement</t>
        </is>
      </c>
      <c r="T55" s="171" t="inlineStr">
        <is>
          <t>Requirement</t>
        </is>
      </c>
      <c r="U55" s="172" t="inlineStr">
        <is>
          <t>Requirement must be a whole number</t>
        </is>
      </c>
      <c r="V55" s="173" t="inlineStr">
        <is>
          <t>Requirement</t>
        </is>
      </c>
      <c r="W55" s="172" t="inlineStr">
        <is>
          <t>Requirement is not a whole number value</t>
        </is>
      </c>
      <c r="X55" s="164" t="inlineStr">
        <is>
          <t>IF(D148&lt;&gt;"",IF(D148&lt;&gt;"NA",IF(ISNUMBER(D148), TRUE, FALSE)))</t>
        </is>
      </c>
    </row>
    <row r="56" ht="25.5" customHeight="1">
      <c r="A56" s="136" t="n">
        <v>28</v>
      </c>
      <c r="B56" s="136" t="inlineStr">
        <is>
          <t>Response Times - Reports – Requirements</t>
        </is>
      </c>
      <c r="C56" s="136" t="inlineStr">
        <is>
          <t>Response Times - Reports – Requirements are not defined</t>
        </is>
      </c>
      <c r="D56" s="136" t="inlineStr">
        <is>
          <t>Response Times - Reports – Requirements are not defined adequately</t>
        </is>
      </c>
      <c r="G56" s="136" t="inlineStr">
        <is>
          <t>Sl. No.</t>
        </is>
      </c>
      <c r="H56" s="136" t="inlineStr">
        <is>
          <t>Cloud Vendor</t>
        </is>
      </c>
      <c r="Q56" s="161" t="n">
        <v>52</v>
      </c>
      <c r="R56" s="160" t="inlineStr">
        <is>
          <t>Response Times - Data – Requirements</t>
        </is>
      </c>
      <c r="S56" s="161" t="inlineStr">
        <is>
          <t>Requirement</t>
        </is>
      </c>
      <c r="T56" s="136" t="inlineStr">
        <is>
          <t>Requirement</t>
        </is>
      </c>
      <c r="U56" s="136" t="inlineStr">
        <is>
          <t>Provide the requirements if applicable, else enter "NA".</t>
        </is>
      </c>
      <c r="X56" s="136" t="inlineStr">
        <is>
          <t>No validation</t>
        </is>
      </c>
    </row>
    <row r="57" ht="25.5" customHeight="1">
      <c r="A57" s="136" t="n">
        <v>29</v>
      </c>
      <c r="B57" s="136" t="inlineStr">
        <is>
          <t>Global</t>
        </is>
      </c>
      <c r="C57" s="136" t="inlineStr">
        <is>
          <t>Application complexity is within the scope of auto-approval</t>
        </is>
      </c>
      <c r="D57" s="136" t="inlineStr">
        <is>
          <t>Application complexity is beyond the scope of auto-approval</t>
        </is>
      </c>
      <c r="G57" s="136" t="n">
        <v>1</v>
      </c>
      <c r="H57" s="136" t="inlineStr">
        <is>
          <t xml:space="preserve">AWS </t>
        </is>
      </c>
      <c r="Q57" s="161" t="n">
        <v>52</v>
      </c>
      <c r="R57" s="160" t="inlineStr">
        <is>
          <t>Response Times - Data – Requirements</t>
        </is>
      </c>
      <c r="S57" s="161" t="n"/>
    </row>
    <row r="58">
      <c r="A58" s="136" t="n">
        <v>30</v>
      </c>
      <c r="B58" s="136" t="inlineStr">
        <is>
          <t xml:space="preserve">Response Times - Batch Jobs – Requirements </t>
        </is>
      </c>
      <c r="C58" s="136" t="inlineStr">
        <is>
          <t>SLA for available time for completion of batch job(Min) is declared</t>
        </is>
      </c>
      <c r="D58" s="136" t="inlineStr">
        <is>
          <t>SLA for available time for completion of batch job(Min) is not declared</t>
        </is>
      </c>
      <c r="G58" s="136" t="n">
        <v>2</v>
      </c>
      <c r="H58" s="136" t="inlineStr">
        <is>
          <t>Azure</t>
        </is>
      </c>
      <c r="Q58" s="190" t="n"/>
      <c r="R58" s="190" t="n"/>
      <c r="S58" s="190" t="n"/>
    </row>
    <row r="59">
      <c r="A59" s="136" t="n">
        <v>31</v>
      </c>
      <c r="B59" s="136" t="inlineStr">
        <is>
          <t xml:space="preserve">Response Times - Batch Jobs – Requirements </t>
        </is>
      </c>
      <c r="C59" s="136" t="inlineStr">
        <is>
          <t>USLA for available time for completion of batch job(Min) is declared</t>
        </is>
      </c>
      <c r="D59" s="136" t="inlineStr">
        <is>
          <t>USLA for available time for completion of batch job(Min) is not declared</t>
        </is>
      </c>
      <c r="G59" s="136" t="n">
        <v>3</v>
      </c>
      <c r="H59" s="136" t="inlineStr">
        <is>
          <t>Google Cloud</t>
        </is>
      </c>
      <c r="J59" s="136" t="inlineStr">
        <is>
          <t>Sl. No.</t>
        </is>
      </c>
      <c r="K59" s="136" t="inlineStr">
        <is>
          <t>Cloud Computing Stack Model</t>
        </is>
      </c>
      <c r="Q59" s="190" t="n"/>
      <c r="R59" s="190" t="n"/>
      <c r="S59" s="190" t="n"/>
    </row>
    <row r="60">
      <c r="A60" s="136" t="n">
        <v>32</v>
      </c>
      <c r="B60" s="136" t="inlineStr">
        <is>
          <t xml:space="preserve">Response Times - Batch Jobs – Requirements </t>
        </is>
      </c>
      <c r="C60" s="136" t="inlineStr">
        <is>
          <t>USLA for available time for completion of batch job(Min) is set adequately</t>
        </is>
      </c>
      <c r="D60" s="136" t="inlineStr">
        <is>
          <t>USLA for available time for completion of batch job(Min) is not set properly</t>
        </is>
      </c>
      <c r="G60" s="136" t="n">
        <v>4</v>
      </c>
      <c r="H60" s="136" t="inlineStr">
        <is>
          <t>IBM</t>
        </is>
      </c>
      <c r="J60" s="136" t="n">
        <v>1</v>
      </c>
      <c r="K60" s="136" t="inlineStr">
        <is>
          <t>IAAS</t>
        </is>
      </c>
    </row>
    <row r="61">
      <c r="A61" s="136" t="n">
        <v>33</v>
      </c>
      <c r="B61" s="136" t="inlineStr">
        <is>
          <t>Response Times - Reports – Requirements</t>
        </is>
      </c>
      <c r="C61" s="136" t="inlineStr">
        <is>
          <t>SLA for 90th Percentile Response Time (Sec) of report is declared</t>
        </is>
      </c>
      <c r="D61" s="136" t="inlineStr">
        <is>
          <t>SLA for 90th Percentile Response Time (Sec) of report is not declared</t>
        </is>
      </c>
      <c r="G61" s="136" t="n">
        <v>5</v>
      </c>
      <c r="H61" s="136" t="inlineStr">
        <is>
          <t>Vistara</t>
        </is>
      </c>
      <c r="J61" s="136" t="n">
        <v>2</v>
      </c>
      <c r="K61" s="136" t="inlineStr">
        <is>
          <t>PAAS</t>
        </is>
      </c>
    </row>
    <row r="62">
      <c r="A62" s="136" t="n">
        <v>34</v>
      </c>
      <c r="B62" s="136" t="inlineStr">
        <is>
          <t>Response Times - Reports – Requirements</t>
        </is>
      </c>
      <c r="C62" s="136" t="inlineStr">
        <is>
          <t>USLA for 90th Percentile Response Time (Sec) of report is declared</t>
        </is>
      </c>
      <c r="D62" s="136" t="inlineStr">
        <is>
          <t>USLA for 90th Percentile Response Time (Sec) of report is not declared</t>
        </is>
      </c>
      <c r="G62" s="136" t="n">
        <v>6</v>
      </c>
      <c r="H62" s="136" t="inlineStr">
        <is>
          <t>Others</t>
        </is>
      </c>
      <c r="J62" s="136" t="n">
        <v>3</v>
      </c>
      <c r="K62" s="136" t="inlineStr">
        <is>
          <t>SAAS</t>
        </is>
      </c>
    </row>
    <row r="63">
      <c r="A63" s="136" t="n">
        <v>35</v>
      </c>
      <c r="B63" s="136" t="inlineStr">
        <is>
          <t>Response Times - Reports – Requirements</t>
        </is>
      </c>
      <c r="C63" s="136" t="inlineStr">
        <is>
          <t>USLA for 90th Percentile Response Time (Sec) of report is set adequately</t>
        </is>
      </c>
      <c r="D63" s="136" t="inlineStr">
        <is>
          <t>USLA for 90th Percentile Response Time (Sec) of report is not set properly</t>
        </is>
      </c>
      <c r="G63" s="136" t="n">
        <v>7</v>
      </c>
      <c r="H63" s="136" t="inlineStr">
        <is>
          <t>NA</t>
        </is>
      </c>
      <c r="J63" s="136" t="n">
        <v>4</v>
      </c>
      <c r="K63" s="136" t="inlineStr">
        <is>
          <t>NA</t>
        </is>
      </c>
    </row>
    <row r="64">
      <c r="A64" s="136" t="n">
        <v>36</v>
      </c>
      <c r="B64" s="136" t="inlineStr">
        <is>
          <t>Response Times - Reports – Requirements</t>
        </is>
      </c>
      <c r="C64" s="136" t="inlineStr">
        <is>
          <t>Response Times - Reports – Requirements are not defined adequately</t>
        </is>
      </c>
    </row>
    <row r="65">
      <c r="A65" s="136" t="n">
        <v>37</v>
      </c>
      <c r="B65" s="136" t="inlineStr">
        <is>
          <t xml:space="preserve">Response Times - Batch Jobs – Requirements </t>
        </is>
      </c>
      <c r="C65" s="136" t="inlineStr">
        <is>
          <t>Response Times - Batch Jobs – Requirements are not defined</t>
        </is>
      </c>
      <c r="D65" s="136" t="inlineStr">
        <is>
          <t>Response Times - Batch Jobs – Requirements not defined adequately</t>
        </is>
      </c>
    </row>
    <row r="66">
      <c r="A66" s="136" t="n">
        <v>38</v>
      </c>
      <c r="B66" s="136" t="inlineStr">
        <is>
          <t>Resource Utilization – Requirements</t>
        </is>
      </c>
      <c r="D66" s="136" t="inlineStr">
        <is>
          <t>CPU Utilization requirement is not defined adequately</t>
        </is>
      </c>
    </row>
    <row r="67">
      <c r="A67" s="136" t="n">
        <v>39</v>
      </c>
      <c r="B67" s="136" t="inlineStr">
        <is>
          <t>Resource Utilization – Requirements</t>
        </is>
      </c>
      <c r="D67" s="136" t="inlineStr">
        <is>
          <t>Memory Utilization requirement is not defined adequately</t>
        </is>
      </c>
      <c r="G67" s="136" t="inlineStr">
        <is>
          <t>Sl. No.</t>
        </is>
      </c>
      <c r="H67" s="136" t="inlineStr">
        <is>
          <t>Boolean Choice</t>
        </is>
      </c>
    </row>
    <row r="68">
      <c r="A68" s="217" t="n">
        <v>40</v>
      </c>
      <c r="B68" s="217" t="inlineStr">
        <is>
          <t>Response Times - Online Txns – Requirements</t>
        </is>
      </c>
      <c r="C68" s="217" t="inlineStr">
        <is>
          <t>90th Percentile SLA is set adequately</t>
        </is>
      </c>
      <c r="D68" s="217" t="n"/>
      <c r="G68" s="136" t="n">
        <v>1</v>
      </c>
      <c r="H68" s="136" t="inlineStr">
        <is>
          <t>Yes</t>
        </is>
      </c>
      <c r="J68" s="136" t="inlineStr">
        <is>
          <t>Sl. No.</t>
        </is>
      </c>
      <c r="K68" s="136" t="inlineStr">
        <is>
          <t>Load balancing and clustering strategy</t>
        </is>
      </c>
    </row>
    <row r="69" ht="15" customHeight="1">
      <c r="A69" s="217" t="n">
        <v>41</v>
      </c>
      <c r="B69" s="217" t="inlineStr">
        <is>
          <t>Deployment Requirements</t>
        </is>
      </c>
      <c r="C69" s="217" t="n"/>
      <c r="D69" s="170" t="inlineStr">
        <is>
          <t>Db Server entry appears in the Software Stack. Please mention the Db server details in Deployment table.</t>
        </is>
      </c>
      <c r="E69" s="136" t="inlineStr">
        <is>
          <t>Db Server entry appears in the Software Stack. If there is an alternate way Db Server can be hosted, mention that in the remarks column of the Deployment table.</t>
        </is>
      </c>
      <c r="G69" s="136" t="n">
        <v>2</v>
      </c>
      <c r="H69" s="136" t="inlineStr">
        <is>
          <t>No</t>
        </is>
      </c>
      <c r="J69" s="136" t="n">
        <v>1</v>
      </c>
      <c r="K69" s="136" t="inlineStr">
        <is>
          <t>Auto-scaling VM instance pool</t>
        </is>
      </c>
    </row>
    <row r="70">
      <c r="A70" s="217" t="n">
        <v>42</v>
      </c>
      <c r="B70" s="217" t="inlineStr">
        <is>
          <t>Deployment Requirements</t>
        </is>
      </c>
      <c r="C70" s="217" t="inlineStr">
        <is>
          <t>DB Server data entered properly in Deployment &amp; Software stack tables</t>
        </is>
      </c>
      <c r="D70" s="217" t="inlineStr">
        <is>
          <t>Db Server entries missed in Deployment &amp; Software Stack tables.</t>
        </is>
      </c>
      <c r="J70" s="136" t="n">
        <v>2</v>
      </c>
      <c r="K70" s="136" t="inlineStr">
        <is>
          <t>Auto-scaling Containers</t>
        </is>
      </c>
    </row>
    <row r="71">
      <c r="A71" s="217" t="n">
        <v>43</v>
      </c>
      <c r="B71" s="217" t="inlineStr">
        <is>
          <t>Deployment Requirements</t>
        </is>
      </c>
      <c r="C71" s="217" t="n"/>
      <c r="D71" s="217" t="inlineStr">
        <is>
          <t>This will not happen</t>
        </is>
      </c>
      <c r="J71" s="136" t="n">
        <v>3</v>
      </c>
      <c r="K71" s="136" t="inlineStr">
        <is>
          <t>Others</t>
        </is>
      </c>
    </row>
    <row r="72">
      <c r="A72" s="217" t="n">
        <v>44</v>
      </c>
      <c r="B72" s="217" t="inlineStr">
        <is>
          <t>Software Stack - Information</t>
        </is>
      </c>
      <c r="C72" s="217" t="n"/>
      <c r="D72" s="217" t="inlineStr">
        <is>
          <t>Db Server entry appears in the Deployment table. Please mention softwares on Db Server in the Software Stack table.</t>
        </is>
      </c>
      <c r="J72" s="136" t="n">
        <v>4</v>
      </c>
      <c r="K72" s="136" t="inlineStr">
        <is>
          <t>NA</t>
        </is>
      </c>
    </row>
    <row r="73">
      <c r="A73" s="210" t="n">
        <v>45</v>
      </c>
      <c r="B73" s="210" t="inlineStr">
        <is>
          <t>Data Management – Requirements</t>
        </is>
      </c>
      <c r="C73" s="210" t="n"/>
      <c r="D73" s="210" t="inlineStr">
        <is>
          <t>As Database component is not part of the asset, Data Management Requirements can be left empty</t>
        </is>
      </c>
    </row>
    <row r="74">
      <c r="A74" s="209" t="n">
        <v>46</v>
      </c>
      <c r="B74" s="210" t="inlineStr">
        <is>
          <t>Response Times - Data – Requirements</t>
        </is>
      </c>
      <c r="C74" s="209" t="n"/>
      <c r="D74" s="209" t="inlineStr">
        <is>
          <t>As Database component is not part of the asset, Data Requirements can be left empty</t>
        </is>
      </c>
      <c r="G74" s="136" t="inlineStr">
        <is>
          <t>Sl. No.</t>
        </is>
      </c>
      <c r="H74" s="136" t="inlineStr">
        <is>
          <t>Technology Stack</t>
        </is>
      </c>
    </row>
    <row r="75">
      <c r="A75" s="136" t="n">
        <v>47</v>
      </c>
      <c r="B75" s="136" t="inlineStr">
        <is>
          <t>Asset Synoptics</t>
        </is>
      </c>
      <c r="C75" s="136" t="inlineStr">
        <is>
          <t>Name of the asset is provided</t>
        </is>
      </c>
      <c r="D75" s="136" t="inlineStr">
        <is>
          <t>Name of the asset is not provided</t>
        </is>
      </c>
      <c r="G75" s="136" t="n">
        <v>1</v>
      </c>
      <c r="H75" s="136" t="inlineStr">
        <is>
          <t>Normal Web</t>
        </is>
      </c>
    </row>
    <row r="76">
      <c r="A76" s="136" t="n">
        <v>48</v>
      </c>
      <c r="B76" s="136" t="inlineStr">
        <is>
          <t>Asset Synoptics</t>
        </is>
      </c>
      <c r="C76" s="136" t="inlineStr">
        <is>
          <t>Brand name of the asset is provided</t>
        </is>
      </c>
      <c r="D76" s="136" t="inlineStr">
        <is>
          <t>Brand name of the asset is not provided</t>
        </is>
      </c>
      <c r="G76" s="136" t="n">
        <v>2</v>
      </c>
      <c r="H76" s="136" t="inlineStr">
        <is>
          <t>Big Data</t>
        </is>
      </c>
    </row>
    <row r="77">
      <c r="A77" s="136" t="n">
        <v>49</v>
      </c>
      <c r="B77" s="136" t="inlineStr">
        <is>
          <t>Software Stack - Information</t>
        </is>
      </c>
      <c r="D77" s="136" t="inlineStr">
        <is>
          <t>Web Server entry appears in the Deployment table. Please mention softwares on Web Server in the Software Stack table.</t>
        </is>
      </c>
      <c r="G77" s="136" t="n">
        <v>3</v>
      </c>
      <c r="H77" s="136" t="inlineStr">
        <is>
          <t>Blockchain</t>
        </is>
      </c>
      <c r="J77" s="136" t="inlineStr">
        <is>
          <t>Sl. No.</t>
        </is>
      </c>
      <c r="K77" s="136" t="inlineStr">
        <is>
          <t>Application Type</t>
        </is>
      </c>
    </row>
    <row r="78">
      <c r="A78" s="136" t="n">
        <v>50</v>
      </c>
      <c r="B78" s="136" t="inlineStr">
        <is>
          <t>Deployment Requirements</t>
        </is>
      </c>
      <c r="D78" s="136" t="inlineStr">
        <is>
          <t>Web Server entry appears in the Software Stack. Please mention the Web server details in Deployment table.</t>
        </is>
      </c>
      <c r="E78" s="136" t="inlineStr">
        <is>
          <t>Web Server entry appears in the Software Stack. If there is an alternate way Web Server can be hosted, mention that in the remarks column of the Deployment table.</t>
        </is>
      </c>
      <c r="G78" s="136" t="n">
        <v>4</v>
      </c>
      <c r="H78" s="136" t="inlineStr">
        <is>
          <t>AI-ML</t>
        </is>
      </c>
      <c r="J78" s="136" t="n">
        <v>1</v>
      </c>
      <c r="K78" s="136" t="inlineStr">
        <is>
          <t>Web-based</t>
        </is>
      </c>
    </row>
    <row r="79">
      <c r="A79" s="136" t="n">
        <v>51</v>
      </c>
      <c r="B79" s="217" t="inlineStr">
        <is>
          <t>Deployment Requirements</t>
        </is>
      </c>
      <c r="C79" s="217" t="inlineStr">
        <is>
          <t>Web Server data entered properly in Deployment &amp; Software stack tables</t>
        </is>
      </c>
      <c r="D79" s="136" t="inlineStr">
        <is>
          <t>Web Server entries missed in Deployment &amp; Software Stack tables.</t>
        </is>
      </c>
      <c r="G79" s="136" t="n">
        <v>5</v>
      </c>
      <c r="H79" s="136" t="inlineStr">
        <is>
          <t>IoT</t>
        </is>
      </c>
      <c r="J79" s="136" t="n">
        <v>2</v>
      </c>
      <c r="K79" s="136" t="inlineStr">
        <is>
          <t>Desktop</t>
        </is>
      </c>
    </row>
    <row r="80">
      <c r="A80" s="136" t="n">
        <v>52</v>
      </c>
      <c r="B80" s="136" t="inlineStr">
        <is>
          <t>Deployment Requirements</t>
        </is>
      </c>
      <c r="D80" s="136" t="inlineStr">
        <is>
          <t>App Server entry appears in the Deployment table. Please mention softwares on App Server in the Software Stack table.</t>
        </is>
      </c>
      <c r="G80" s="136" t="n">
        <v>6</v>
      </c>
      <c r="H80" s="136" t="inlineStr">
        <is>
          <t>Google API - Firebase</t>
        </is>
      </c>
      <c r="J80" s="136" t="n">
        <v>3</v>
      </c>
      <c r="K80" s="136" t="inlineStr">
        <is>
          <t>Mobile</t>
        </is>
      </c>
    </row>
    <row r="81">
      <c r="A81" s="136" t="n">
        <v>53</v>
      </c>
      <c r="B81" s="136" t="inlineStr">
        <is>
          <t>Deployment Requirements</t>
        </is>
      </c>
      <c r="D81" s="136" t="inlineStr">
        <is>
          <t>App Server entry appears in the Software Stack. Please mention the App server details in Deployment table.</t>
        </is>
      </c>
      <c r="E81" s="136" t="inlineStr">
        <is>
          <t>App Server entry appears in the Software Stack. If there is an alternate way App Server can be hosted, mention that in the remarks column of the Deployment table.</t>
        </is>
      </c>
      <c r="G81" s="136" t="n">
        <v>7</v>
      </c>
      <c r="H81" s="136" t="inlineStr">
        <is>
          <t>Power BI</t>
        </is>
      </c>
      <c r="J81" s="136" t="n">
        <v>4</v>
      </c>
      <c r="K81" s="136" t="inlineStr">
        <is>
          <t>API-based</t>
        </is>
      </c>
    </row>
    <row r="82">
      <c r="A82" s="136" t="n">
        <v>54</v>
      </c>
      <c r="B82" s="136" t="inlineStr">
        <is>
          <t>Deployment Requirements</t>
        </is>
      </c>
      <c r="C82" s="217" t="inlineStr">
        <is>
          <t>App Server data entered properly in Deployment &amp; Software stack tables</t>
        </is>
      </c>
      <c r="D82" s="136" t="inlineStr">
        <is>
          <t>App Server entries missed in Deployment &amp; Software Stack tables.</t>
        </is>
      </c>
      <c r="G82" s="136" t="n">
        <v>8</v>
      </c>
      <c r="H82" s="136" t="inlineStr">
        <is>
          <t>Salesforce.com</t>
        </is>
      </c>
      <c r="J82" s="136" t="n">
        <v>5</v>
      </c>
      <c r="K82" s="136" t="inlineStr">
        <is>
          <t>Web Services</t>
        </is>
      </c>
    </row>
    <row r="83">
      <c r="A83" s="136" t="n">
        <v>55</v>
      </c>
      <c r="B83" s="136" t="inlineStr">
        <is>
          <t>Response Times - Online Txns – Requirements</t>
        </is>
      </c>
      <c r="C83" s="136" t="inlineStr">
        <is>
          <t>Response Times - Online Txns – Requirements are not defined</t>
        </is>
      </c>
      <c r="D83" s="136" t="inlineStr">
        <is>
          <t>Response Times - Online Txns – Requirements not defined adequately</t>
        </is>
      </c>
      <c r="G83" s="136" t="n">
        <v>9</v>
      </c>
      <c r="H83" s="136" t="inlineStr">
        <is>
          <t>SAP-based</t>
        </is>
      </c>
      <c r="J83" s="136" t="n">
        <v>6</v>
      </c>
      <c r="K83" s="136" t="inlineStr">
        <is>
          <t>Batch</t>
        </is>
      </c>
    </row>
    <row r="84">
      <c r="A84" s="136" t="n">
        <v>56</v>
      </c>
      <c r="B84" s="136" t="inlineStr">
        <is>
          <t>Asset Synoptics</t>
        </is>
      </c>
      <c r="C84" s="136" t="inlineStr">
        <is>
          <t>TIPAR ID of the asset is valid</t>
        </is>
      </c>
      <c r="D84" s="136" t="inlineStr">
        <is>
          <t>TIPAR ID of the asset is not valid</t>
        </is>
      </c>
      <c r="G84" s="136" t="n">
        <v>10</v>
      </c>
      <c r="H84" s="136" t="inlineStr">
        <is>
          <t>AR-VR</t>
        </is>
      </c>
      <c r="J84" s="136" t="n">
        <v>7</v>
      </c>
      <c r="K84" s="136" t="inlineStr">
        <is>
          <t>Rich client</t>
        </is>
      </c>
    </row>
    <row r="85">
      <c r="A85" s="136" t="n">
        <v>57</v>
      </c>
      <c r="B85" s="136" t="inlineStr">
        <is>
          <t>Response Times - Online Txns – Requirements</t>
        </is>
      </c>
      <c r="C85" s="136" t="inlineStr">
        <is>
          <t>Transaction description/s are provided adequately</t>
        </is>
      </c>
      <c r="D85" s="136" t="inlineStr">
        <is>
          <t>Avoid duplicate transaction descriptions</t>
        </is>
      </c>
      <c r="G85" s="136" t="n">
        <v>11</v>
      </c>
      <c r="H85" s="136" t="inlineStr">
        <is>
          <t>Video Recording</t>
        </is>
      </c>
      <c r="J85" s="136" t="n">
        <v>8</v>
      </c>
      <c r="K85" s="136" t="inlineStr">
        <is>
          <t>Others</t>
        </is>
      </c>
    </row>
    <row r="86">
      <c r="A86" s="136" t="n">
        <v>58</v>
      </c>
      <c r="B86" s="136" t="inlineStr">
        <is>
          <t xml:space="preserve">Response Times - Batch Jobs – Requirements </t>
        </is>
      </c>
      <c r="C86" s="136" t="inlineStr">
        <is>
          <t>Batch job description/s are provided adequately</t>
        </is>
      </c>
      <c r="D86" s="136" t="inlineStr">
        <is>
          <t>Avoid duplicate batch job descriptions</t>
        </is>
      </c>
      <c r="G86" s="136" t="n">
        <v>12</v>
      </c>
      <c r="H86" s="136" t="inlineStr">
        <is>
          <t>Streaming</t>
        </is>
      </c>
    </row>
    <row r="87">
      <c r="A87" s="136" t="n">
        <v>59</v>
      </c>
      <c r="B87" s="136" t="inlineStr">
        <is>
          <t>Response Times - Reports – Requirements</t>
        </is>
      </c>
      <c r="C87" s="136" t="inlineStr">
        <is>
          <t>Report description/s are provided adequately</t>
        </is>
      </c>
      <c r="D87" s="136" t="inlineStr">
        <is>
          <t>Avoid duplicate report descriptions</t>
        </is>
      </c>
      <c r="G87" s="136" t="n">
        <v>13</v>
      </c>
      <c r="H87" s="210" t="inlineStr">
        <is>
          <t>Gen AI</t>
        </is>
      </c>
    </row>
    <row r="88">
      <c r="A88" s="136" t="n">
        <v>60</v>
      </c>
      <c r="B88" s="210" t="inlineStr">
        <is>
          <t>Response Times - Data – Requirements</t>
        </is>
      </c>
      <c r="D88" s="136" t="inlineStr">
        <is>
          <t>Representing multiple tables in comma separated format is disallowed. Use only a single table name.</t>
        </is>
      </c>
      <c r="G88" s="136" t="n">
        <v>14</v>
      </c>
      <c r="H88" s="210" t="inlineStr">
        <is>
          <t>Microservices</t>
        </is>
      </c>
    </row>
    <row r="89">
      <c r="G89" s="136" t="n">
        <v>15</v>
      </c>
      <c r="H89" s="136" t="inlineStr">
        <is>
          <t>Others</t>
        </is>
      </c>
    </row>
    <row r="91">
      <c r="G91" s="136" t="inlineStr">
        <is>
          <t>Sl. No.</t>
        </is>
      </c>
      <c r="H91" s="136" t="inlineStr">
        <is>
          <t>Sheet Name</t>
        </is>
      </c>
    </row>
    <row r="92">
      <c r="G92" s="136" t="n">
        <v>1</v>
      </c>
      <c r="H92" s="136" t="inlineStr">
        <is>
          <t>Cover Page</t>
        </is>
      </c>
    </row>
    <row r="93">
      <c r="G93" s="136" t="n">
        <v>2</v>
      </c>
      <c r="H93" s="136" t="inlineStr">
        <is>
          <t>Read me</t>
        </is>
      </c>
    </row>
    <row r="94">
      <c r="G94" s="136" t="n">
        <v>3</v>
      </c>
      <c r="H94" s="136" t="inlineStr">
        <is>
          <t>Asset Info</t>
        </is>
      </c>
    </row>
    <row r="95">
      <c r="G95" s="136" t="n">
        <v>4</v>
      </c>
      <c r="H95" s="136" t="inlineStr">
        <is>
          <t>Performance</t>
        </is>
      </c>
    </row>
    <row r="96">
      <c r="G96" s="136" t="n">
        <v>5</v>
      </c>
      <c r="H96" s="136" t="inlineStr">
        <is>
          <t>Data_Validations</t>
        </is>
      </c>
    </row>
    <row r="97">
      <c r="G97" s="136" t="n">
        <v>6</v>
      </c>
      <c r="H97" s="136" t="inlineStr">
        <is>
          <t>Data_Constants</t>
        </is>
      </c>
    </row>
    <row r="98">
      <c r="G98" s="136" t="n">
        <v>7</v>
      </c>
      <c r="H98" s="136" t="inlineStr">
        <is>
          <t>Internal_Release</t>
        </is>
      </c>
    </row>
    <row r="99">
      <c r="G99" s="136" t="n">
        <v>8</v>
      </c>
      <c r="H99" s="136" t="inlineStr">
        <is>
          <t>Report</t>
        </is>
      </c>
    </row>
    <row r="100">
      <c r="A100" s="174" t="inlineStr">
        <is>
          <t>Sl. No.</t>
        </is>
      </c>
      <c r="B100" s="174" t="inlineStr">
        <is>
          <t>Table</t>
        </is>
      </c>
      <c r="C100" s="174" t="inlineStr">
        <is>
          <t>Intended Purpose of validation</t>
        </is>
      </c>
      <c r="D100" s="174" t="inlineStr">
        <is>
          <t>Column1</t>
        </is>
      </c>
    </row>
    <row r="101" ht="15" customHeight="1">
      <c r="A101" s="161" t="n">
        <v>1</v>
      </c>
      <c r="B101" s="175" t="inlineStr">
        <is>
          <t>Asset Information</t>
        </is>
      </c>
      <c r="C101" s="161" t="inlineStr">
        <is>
          <t>Checks if proper version number is present for the asset</t>
        </is>
      </c>
      <c r="D101" s="190" t="n"/>
    </row>
    <row r="102" ht="15" customHeight="1">
      <c r="A102" s="161" t="n">
        <v>2</v>
      </c>
      <c r="B102" s="175" t="inlineStr">
        <is>
          <t>Asset Information</t>
        </is>
      </c>
      <c r="C102" s="161" t="inlineStr">
        <is>
          <t>Checks if description length is greater than 100 characters</t>
        </is>
      </c>
      <c r="D102" s="190" t="n"/>
    </row>
    <row r="103" ht="64.5" customHeight="1">
      <c r="A103" s="161" t="n">
        <v>3</v>
      </c>
      <c r="B103" s="175" t="inlineStr">
        <is>
          <t>Deployment Requirements</t>
        </is>
      </c>
      <c r="C103" s="160" t="inlineStr">
        <is>
          <t>Validates the following
1. "Server" field is not blank
2. "Number of Instances" field is not blank
3. "CPU cores" field is not blank
4. "RAM in GB" field is not blank</t>
        </is>
      </c>
      <c r="D103" s="190" t="n"/>
    </row>
    <row r="104" ht="39" customHeight="1">
      <c r="A104" s="161" t="n">
        <v>4</v>
      </c>
      <c r="B104" s="175" t="inlineStr">
        <is>
          <t>Software Stack - Information</t>
        </is>
      </c>
      <c r="C104" s="160" t="inlineStr">
        <is>
          <t>Validates the following for a filled row
1. "Name" field is not blank
2. "Version" field is not blank</t>
        </is>
      </c>
      <c r="D104" s="190" t="n"/>
    </row>
    <row r="105" ht="26.25" customHeight="1">
      <c r="A105" s="161" t="n">
        <v>5</v>
      </c>
      <c r="B105" s="175" t="inlineStr">
        <is>
          <t>Software Stack - Information</t>
        </is>
      </c>
      <c r="C105" s="160" t="inlineStr">
        <is>
          <t>Validates the following for a filled row
1. "Version" field is filled, and it is a non-zero value or contains a dot character</t>
        </is>
      </c>
      <c r="D105" s="190" t="n"/>
    </row>
    <row r="106" ht="64.5" customHeight="1">
      <c r="A106" s="161" t="n">
        <v>6</v>
      </c>
      <c r="B106" s="175" t="inlineStr">
        <is>
          <t>User Types – Requirements</t>
        </is>
      </c>
      <c r="C106" s="160" t="inlineStr">
        <is>
          <t>Validates the following for a filled row
1. User Type (col 'B') is non-empty, 
2. Total users (col 'C') is numeric type,
3. Concurrent users (col 'D') numeric type,
4. Numeric value of Total users is greater than or equal to Concurrent users</t>
        </is>
      </c>
      <c r="D106" s="190" t="n"/>
    </row>
    <row r="107" ht="51.75" customHeight="1">
      <c r="A107" s="161" t="n">
        <v>7</v>
      </c>
      <c r="B107" s="175" t="inlineStr">
        <is>
          <t>Channels - Information</t>
        </is>
      </c>
      <c r="C107" s="160" t="inlineStr">
        <is>
          <t>Validates the following for the filled table
1. Percentage of users (col 'C') accessing via the channels is non-empty, 
2. All percentage values are numeric,
3. Sum of all percentage values equate to 100</t>
        </is>
      </c>
      <c r="D107" s="190" t="n"/>
    </row>
    <row r="108" ht="39" customHeight="1">
      <c r="A108" s="161" t="n">
        <v>8</v>
      </c>
      <c r="B108" s="175" t="inlineStr">
        <is>
          <t>Response Times - Online Txns – Requirements</t>
        </is>
      </c>
      <c r="C108" s="160" t="inlineStr">
        <is>
          <t>Validates the following 
1. The Transaction Description field is non-empty, 
2. It holds a description of 5 or more characters</t>
        </is>
      </c>
      <c r="D108" s="190" t="n"/>
    </row>
    <row r="109" ht="39" customHeight="1">
      <c r="A109" s="161" t="n">
        <v>9</v>
      </c>
      <c r="B109" s="175" t="inlineStr">
        <is>
          <t>Response Times - Online Txns – Requirements</t>
        </is>
      </c>
      <c r="C109" s="160" t="inlineStr">
        <is>
          <t>Validates the following 
1. The 90th percentile SLA of response time is a numeric value, 
2. It holds non-decimal values</t>
        </is>
      </c>
      <c r="D109" s="190" t="n"/>
    </row>
    <row r="110" ht="39" customHeight="1">
      <c r="A110" s="161" t="n">
        <v>10</v>
      </c>
      <c r="B110" s="175" t="inlineStr">
        <is>
          <t>Response Times - Online Txns – Requirements</t>
        </is>
      </c>
      <c r="C110" s="160" t="inlineStr">
        <is>
          <t>Validates the following 
1. The 90th percentile USLA of response time is a numeric value, 
2. It holds non-decimal values</t>
        </is>
      </c>
      <c r="D110" s="190" t="n"/>
    </row>
    <row r="111" ht="26.25" customHeight="1">
      <c r="A111" s="136" t="n">
        <v>11</v>
      </c>
      <c r="B111" s="175" t="inlineStr">
        <is>
          <t>Response Times - Online Txns – Requirements</t>
        </is>
      </c>
      <c r="C111" s="160" t="inlineStr">
        <is>
          <t>Validates the following 
1. The 90th percentile USLA is greater than or equal to SLA value and less than or equal to 1.6 times the SLA</t>
        </is>
      </c>
      <c r="D111" s="191" t="n"/>
    </row>
    <row r="112" ht="26.25" customHeight="1">
      <c r="A112" s="161" t="n">
        <v>12</v>
      </c>
      <c r="B112" s="175" t="inlineStr">
        <is>
          <t>Response Times - Online Txns – Requirements</t>
        </is>
      </c>
      <c r="C112" s="160" t="inlineStr">
        <is>
          <t>Validates the following 
1. The concurrent users field hold a numeric integer value</t>
        </is>
      </c>
      <c r="D112" s="190" t="n"/>
    </row>
    <row r="113" ht="39" customHeight="1">
      <c r="A113" s="161" t="n">
        <v>13</v>
      </c>
      <c r="B113" s="175" t="inlineStr">
        <is>
          <t>Response Times - Online Txns – Requirements</t>
        </is>
      </c>
      <c r="C113" s="160" t="inlineStr">
        <is>
          <t>Validates the following 
1. The sum of concurrent users for online transactions and report transactions must be less than or equal to the sum of concurrent users at peak load anticipated for the system</t>
        </is>
      </c>
      <c r="D113" s="190" t="n"/>
    </row>
    <row r="114" ht="39" customHeight="1">
      <c r="A114" s="161" t="n">
        <v>14</v>
      </c>
      <c r="B114" s="175" t="inlineStr">
        <is>
          <t>Response Times - Online Txns – Requirements</t>
        </is>
      </c>
      <c r="C114" s="160" t="inlineStr">
        <is>
          <t>Validates the following 
1. If the 90th percentile SLA of response time is above 5 seconds, adequate rationale is provided for why the response is slower than standard</t>
        </is>
      </c>
      <c r="D114" s="190" t="n"/>
    </row>
    <row r="115" ht="39" customHeight="1">
      <c r="A115" s="161" t="n">
        <v>15</v>
      </c>
      <c r="B115" s="175" t="inlineStr">
        <is>
          <t>Response Times - Batch Jobs – Requirements</t>
        </is>
      </c>
      <c r="C115" s="160" t="inlineStr">
        <is>
          <t>Validates the following
1. The SLA for available time for completion of batch job is a numeric value
2. It holds non-decimal values</t>
        </is>
      </c>
      <c r="D115" s="190" t="n"/>
    </row>
    <row r="116" ht="39" customHeight="1">
      <c r="A116" s="161" t="n">
        <v>16</v>
      </c>
      <c r="B116" s="175" t="inlineStr">
        <is>
          <t>Response Times - Batch Jobs – Requirements</t>
        </is>
      </c>
      <c r="C116" s="160" t="inlineStr">
        <is>
          <t>Validates the following
1. The USLA for available time for completion of batch job is a numeric value
2. It holds non-decimal values</t>
        </is>
      </c>
      <c r="D116" s="190" t="n"/>
    </row>
    <row r="117" ht="39" customHeight="1">
      <c r="A117" s="161" t="n">
        <v>17</v>
      </c>
      <c r="B117" s="175" t="inlineStr">
        <is>
          <t>Response Times - Batch Jobs – Requirements</t>
        </is>
      </c>
      <c r="C117" s="160" t="inlineStr">
        <is>
          <t>Validates the following
1. The USLA for available time for completion of batch job is greater than or equal to SLA and less than or equal to 1.6 times the SLA</t>
        </is>
      </c>
      <c r="D117" s="190" t="n"/>
    </row>
    <row r="118" ht="26.25" customHeight="1">
      <c r="A118" s="161" t="n">
        <v>18</v>
      </c>
      <c r="B118" s="175" t="inlineStr">
        <is>
          <t>Response Times - Batch Jobs – Requirements</t>
        </is>
      </c>
      <c r="C118" s="160" t="inlineStr">
        <is>
          <t>Validates the following 
1. The average time for completion of batch job is set at or above 1 minute</t>
        </is>
      </c>
      <c r="D118" s="190" t="n"/>
    </row>
    <row r="119" ht="39" customHeight="1">
      <c r="A119" s="161" t="n">
        <v>19</v>
      </c>
      <c r="B119" s="175" t="inlineStr">
        <is>
          <t>Response Times - Reports – Requirements</t>
        </is>
      </c>
      <c r="C119" s="160" t="inlineStr">
        <is>
          <t>Validates the following 
1. The 90th percentile SLA of response time is a numeric value, 
2. It holds non-decimal values</t>
        </is>
      </c>
      <c r="D119" s="190" t="n"/>
    </row>
    <row r="120" ht="39" customHeight="1">
      <c r="A120" s="161" t="n">
        <v>20</v>
      </c>
      <c r="B120" s="175" t="inlineStr">
        <is>
          <t>Response Times - Reports – Requirements</t>
        </is>
      </c>
      <c r="C120" s="160" t="inlineStr">
        <is>
          <t>Validates the following 
1. The 90th percentile USLA of response time is a numeric value, 
2. It holds non-decimal values</t>
        </is>
      </c>
      <c r="D120" s="190" t="n"/>
    </row>
    <row r="121" ht="26.25" customHeight="1">
      <c r="A121" s="161" t="n">
        <v>21</v>
      </c>
      <c r="B121" s="175" t="inlineStr">
        <is>
          <t>Response Times - Reports – Requirements</t>
        </is>
      </c>
      <c r="C121" s="160" t="inlineStr">
        <is>
          <t>Validates the following
1. The 90th percentile USLA is greater than or equal to SLA value and less than or equal to 1.6 times the SLA</t>
        </is>
      </c>
      <c r="D121" s="190" t="n"/>
    </row>
    <row r="122" ht="26.25" customHeight="1">
      <c r="A122" s="161" t="n">
        <v>22</v>
      </c>
      <c r="B122" s="175" t="inlineStr">
        <is>
          <t>Response Times - Reports – Requirements</t>
        </is>
      </c>
      <c r="C122" s="160" t="inlineStr">
        <is>
          <t>Validates the following 
1. Report Type (col 'D') is set with any of the following values - 'Scheduled'/ 'Adhoc'</t>
        </is>
      </c>
      <c r="D122" s="190" t="n"/>
    </row>
    <row r="123" ht="77.25" customHeight="1">
      <c r="A123" s="161" t="n">
        <v>23</v>
      </c>
      <c r="B123" s="175" t="inlineStr">
        <is>
          <t>Response Times - Data – Requirements</t>
        </is>
      </c>
      <c r="C123" s="160" t="inlineStr">
        <is>
          <t>Validates the following
1. Estimated records (col 'E') is non-blank and non-zero,
2. Table size (col 'F') and Table size upper limits (col 'G') are number type,
3. Table size is less than Table size upper limit
4. Estimated records is greater than 100
5. If DB Server is not present in the deployment, recommends to keep the table empty</t>
        </is>
      </c>
      <c r="D123" s="190" t="n"/>
    </row>
    <row r="124" ht="51.75" customHeight="1">
      <c r="A124" s="161" t="n">
        <v>24</v>
      </c>
      <c r="B124" s="175" t="inlineStr">
        <is>
          <t>Data Management – Requirements</t>
        </is>
      </c>
      <c r="C124" s="160" t="inlineStr">
        <is>
          <t>Validates the following 
1. Data Management 'Category' (col 'B') is set non-blank
2. Data Management 'Requirement'  (col 'D') is set non-blank
3. If DB Server is not present in the deployment, recommends to keep the table empty</t>
        </is>
      </c>
      <c r="D124" s="190" t="n"/>
    </row>
    <row r="125" ht="26.25" customHeight="1">
      <c r="A125" s="161" t="n">
        <v>25</v>
      </c>
      <c r="B125" s="175" t="inlineStr">
        <is>
          <t>Resource Utilization – Requirements</t>
        </is>
      </c>
      <c r="C125" s="160" t="inlineStr">
        <is>
          <t>Validates the following 
1. Resource Utilization 'Requirement' (col 'D') for CPU Utilization is less than or equal to 60</t>
        </is>
      </c>
      <c r="D125" s="190" t="n"/>
    </row>
    <row r="126" ht="26.25" customHeight="1">
      <c r="A126" s="161" t="n">
        <v>26</v>
      </c>
      <c r="B126" s="175" t="inlineStr">
        <is>
          <t>Resource Utilization – Requirements</t>
        </is>
      </c>
      <c r="C126" s="160" t="inlineStr">
        <is>
          <t>Validates the following 
1. Resource Utilization 'Requirement' (col 'D') for Memory Utilization is less than or equal to 70</t>
        </is>
      </c>
      <c r="D126" s="190" t="n"/>
    </row>
    <row r="127" ht="39" customHeight="1">
      <c r="A127" s="161" t="n">
        <v>27</v>
      </c>
      <c r="B127" s="175" t="inlineStr">
        <is>
          <t>Deployment Requirements</t>
        </is>
      </c>
      <c r="C127" s="160" t="inlineStr">
        <is>
          <t>Validates the following_x000D_
1. The DB Server data are entered properly or not. (Checks if entries for DB Server are there in the 'Deployment Requirements' and  'Software Stack' tables.)</t>
        </is>
      </c>
      <c r="D127" s="190" t="n"/>
    </row>
    <row r="128">
      <c r="A128" s="161" t="n">
        <v>28</v>
      </c>
      <c r="B128" s="212" t="inlineStr">
        <is>
          <t>Asset Information</t>
        </is>
      </c>
      <c r="C128" s="161" t="inlineStr">
        <is>
          <t>Checks if brand name is provided for the product</t>
        </is>
      </c>
      <c r="D128" s="190" t="n"/>
    </row>
    <row r="129" ht="38.25" customHeight="1">
      <c r="A129" s="161" t="n">
        <v>29</v>
      </c>
      <c r="B129" s="212" t="inlineStr">
        <is>
          <t>Deployment Requirements</t>
        </is>
      </c>
      <c r="C129" s="160" t="inlineStr">
        <is>
          <t>Validates the following
1. The Web Server data are entered properly or not. (Checks if entries for Web Server are there in the 'Deployment Requirements' and  'Software Stack' tables.)</t>
        </is>
      </c>
      <c r="D129" s="190" t="n"/>
    </row>
    <row r="130" ht="38.25" customHeight="1">
      <c r="A130" s="161" t="n">
        <v>30</v>
      </c>
      <c r="B130" s="212" t="inlineStr">
        <is>
          <t>Deployment Requirements</t>
        </is>
      </c>
      <c r="C130" s="160" t="inlineStr">
        <is>
          <t>Validates the following
1. The App Server data are entered properly or not. (Checks if entries for App Server are there in the 'Deployment Requirements' and  'Software Stack' tables.)</t>
        </is>
      </c>
      <c r="D130" s="190" t="n"/>
    </row>
    <row r="131">
      <c r="A131" s="161" t="n">
        <v>31</v>
      </c>
      <c r="B131" s="212" t="inlineStr">
        <is>
          <t>Asset Information</t>
        </is>
      </c>
      <c r="C131" s="161" t="inlineStr">
        <is>
          <t>Checks if TIPAR ID is provided for the product</t>
        </is>
      </c>
      <c r="D131" s="190" t="n"/>
    </row>
    <row r="132">
      <c r="A132" s="161" t="n">
        <v>32</v>
      </c>
      <c r="B132" s="212" t="inlineStr">
        <is>
          <t>Response Times - Online Txns – Requirements</t>
        </is>
      </c>
      <c r="C132" s="161" t="inlineStr">
        <is>
          <t>Checks if any duplicate transactions are provided</t>
        </is>
      </c>
      <c r="D132" s="190" t="n"/>
    </row>
    <row r="133">
      <c r="A133" s="190" t="n">
        <v>33</v>
      </c>
      <c r="B133" s="233" t="inlineStr">
        <is>
          <t xml:space="preserve">Response Times - Batch Jobs – Requirements </t>
        </is>
      </c>
      <c r="C133" s="190" t="inlineStr">
        <is>
          <t>Checks if any duplicate batch job descriptions are provided</t>
        </is>
      </c>
      <c r="D133" s="190" t="n"/>
    </row>
    <row r="134">
      <c r="A134" s="190" t="n">
        <v>34</v>
      </c>
      <c r="B134" s="233" t="inlineStr">
        <is>
          <t>Response Times - Reports – Requirements</t>
        </is>
      </c>
      <c r="C134" s="190" t="inlineStr">
        <is>
          <t>Checks if any duplicate report descriptions are provided</t>
        </is>
      </c>
      <c r="D134" s="190" t="n"/>
    </row>
    <row r="135">
      <c r="A135" s="161" t="n"/>
      <c r="B135" s="212" t="n"/>
      <c r="C135" s="160" t="n"/>
      <c r="D135" s="190" t="n"/>
    </row>
  </sheetData>
  <sheetProtection selectLockedCells="0" selectUnlockedCells="0" algorithmName="SHA-512" sheet="1" objects="1" insertRows="1" insertHyperlinks="1" autoFilter="1" scenarios="1" formatColumns="1" deleteColumns="1" insertColumns="1" pivotTables="1" deleteRows="1" formatCells="1" saltValue="61GWMb57PiLs38rGyk6WCw==" formatRows="1" sort="1" spinCount="100000" hashValue="JZM+sEk7ZN69shKNNabQIl5fjuiwPQe+hvdCBu1m5H0cp0VqyqfeEEQsLNS2qpM04eEX3O1AZ2QhcCSq6TjSuQ=="/>
  <mergeCells count="3">
    <mergeCell ref="N17:O17"/>
    <mergeCell ref="L23:O23"/>
    <mergeCell ref="L16:O16"/>
  </mergeCells>
  <pageMargins left="0.7" right="0.7" top="0.75" bottom="0.75" header="0.3" footer="0.3"/>
  <pageSetup orientation="portrait"/>
  <legacyDrawing xmlns:r="http://schemas.openxmlformats.org/officeDocument/2006/relationships" r:id="anysvml"/>
  <tableParts count="2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 xmlns:r="http://schemas.openxmlformats.org/officeDocument/2006/relationships" r:id="rId22"/>
    <tablePart xmlns:r="http://schemas.openxmlformats.org/officeDocument/2006/relationships" r:id="rId23"/>
    <tablePart xmlns:r="http://schemas.openxmlformats.org/officeDocument/2006/relationships" r:id="rId24"/>
    <tablePart xmlns:r="http://schemas.openxmlformats.org/officeDocument/2006/relationships" r:id="rId25"/>
  </tableParts>
</worksheet>
</file>

<file path=xl/worksheets/sheet7.xml><?xml version="1.0" encoding="utf-8"?>
<worksheet xmlns="http://schemas.openxmlformats.org/spreadsheetml/2006/main">
  <sheetPr>
    <outlinePr summaryBelow="1" summaryRight="1"/>
    <pageSetUpPr/>
  </sheetPr>
  <dimension ref="B2:E23"/>
  <sheetViews>
    <sheetView zoomScaleNormal="100" workbookViewId="0">
      <selection activeCell="B2" sqref="B2"/>
    </sheetView>
  </sheetViews>
  <sheetFormatPr baseColWidth="8" defaultRowHeight="12.75"/>
  <cols>
    <col width="24.7109375" customWidth="1" min="3" max="3"/>
    <col width="10.140625" bestFit="1" customWidth="1" min="4" max="4"/>
    <col width="85.140625" customWidth="1" min="5" max="5"/>
  </cols>
  <sheetData>
    <row r="2">
      <c r="B2" s="193" t="inlineStr">
        <is>
          <t>Sl. No</t>
        </is>
      </c>
      <c r="C2" s="193" t="inlineStr">
        <is>
          <t>QOPD Release Number</t>
        </is>
      </c>
      <c r="D2" s="193" t="inlineStr">
        <is>
          <t>Date</t>
        </is>
      </c>
      <c r="E2" s="193" t="inlineStr">
        <is>
          <t>Changes</t>
        </is>
      </c>
    </row>
    <row r="3" ht="217.5" customHeight="1">
      <c r="B3" s="192" t="n">
        <v>1</v>
      </c>
      <c r="C3" s="232" t="inlineStr">
        <is>
          <t>4.1.0</t>
        </is>
      </c>
      <c r="D3" s="4" t="n">
        <v>45582</v>
      </c>
      <c r="E3" s="194" t="inlineStr">
        <is>
          <t>1. Auto-approval has been extended for Desktop type application.
2. Auto-approval has been extended for applications deployed in Cloud SAAS and PAAS, which is on top of IAAS,
3. In the 'Asset Info' tab, for the question on Technology Stack, the following new entries have been added - Gen AI and Microservices,
4. A new condition check is added to the validation logic linked with 'Response Times - Data Requirements' table to check if remarks is provided when the count of records in the table is less than 100. In such a case, positive validation will occur if the remarks are provided. The validation outcome message is also changed to reflect that the rationale for less than 100 records in the table is not provided whenever a negative validation outcome results.
5. Fixed the following issues
	I. In the case when online transaction table is empty (i.e., without any transaction), the validation to check if the  User Concurrency distribution is proper across online transactions and online report transactions as a whole was not happening. This was fixed, and the linked changes required in the validation messages and their formatting have been made.
	II. The App server, Webserver, and DB server List validations were refactored to avoid making changes in the validation logic whenever the list was updated.</t>
        </is>
      </c>
    </row>
    <row r="4" ht="179.25" customHeight="1">
      <c r="B4" s="192" t="n">
        <v>2</v>
      </c>
      <c r="C4" s="232" t="inlineStr">
        <is>
          <t>4.0.0</t>
        </is>
      </c>
      <c r="D4" s="4" t="n">
        <v>45504</v>
      </c>
      <c r="E4" s="194" t="inlineStr">
        <is>
          <t>1. Introduced additional set of Servers applicable for rule evaluation in the Web Server Pool,
2. Introduced additional set of Servers applicable for rule evaluation in the Application Server Pool,
3. Introduced additional set of Servers applicable for rule evaluation in the DB Server Pool,
4. Expanded the range of concurrent users applicable for rule evaluation. From 15 to 150, the range has been expanded to between 1 and 200,
5. 5. In the 'Response Times - Data – Requirements' table, the column heading for 'Estimated No. Of Records per table' has been updated to imply that the number of records mentioned must be of the Performance testing environment. The Input Message in that column has also been changed to inform the end user about this expectation so while filling the performance requirements of the target asset, it is clear on what data must be filled.
6. Derive the name of the QOPD file based on the conventions outlined in the 'Read me' tab. The name is kept in the 'Data_Validations' tab for future use.
7. Prevent a spill error occurring in 'Deployment Requirements' table validation due to an extra entry added between Web Server and App Server line items in the 'Software Stack - Information' table.</t>
        </is>
      </c>
    </row>
    <row r="5" ht="409.6" customHeight="1">
      <c r="B5" s="192" t="n">
        <v>3</v>
      </c>
      <c r="C5" s="192" t="inlineStr">
        <is>
          <t>3.1.0</t>
        </is>
      </c>
      <c r="D5" s="4" t="n">
        <v>45299</v>
      </c>
      <c r="E5" s="194" t="inlineStr">
        <is>
          <t>1. Cross table data dependency validations are added
i. "Deployment Requirements" v/s "Software Stack - Information" table
a. If there is a Web Server, related software must be present against "Software - Web Server" entry in the "Software Stack - Information" table.
b. If there is a Application Server, related software must be present against "Application Server" entry in the "Software Stack - Information" table.
c. If there is a DB Server, related software must be present against "DB Server" entry in the "Software Stack - Information" table.
Reverse relationships are also similarly covered by the validation.
ii. "Software Stack - Information" v/s "Response Times - Data-Requirements" table	
a. If there is a DB Server, corresponding DB data requirements must be present in the "Response Times - Data-Requirements" table.
b. If there is no DB Server, "Response Times - Data-Requirements" table can be empty.
2. Allow a scenario where "Response Times - Online Txns-Requirements" table is empty
In the previous release of the QOPD, an Asset with no requirements in this table, results in an error message and "Not Appproved" outcome for the table in the "Report" sheet. With the change, it allows this table to be empty when any one of "Response Times - Batch Jobs-Requirements"/"Response Times - Reports-Requirements" tables, or both are non-empty with respect to requirements.
3. Validation messages across tables that must reflect the same context have been re-written for uniformity
E.g., messages such as "No batch jobs are defined" and "Response time Report requirements are not filled"
4. Changes to basic validation and message output for couple requirements tables and conditional formatting changes
i. Brand name (in the "Asset Info" tab) - it must be non-blank and atleast 3 characters in length, or "NA"
ii. Disallow duplicate values for the following 
a. "Transaction Description" column in "Response Times - Online Txns-Requirements" table
b. "Batch job/Transaction Description" column in "Response Times - Batch Jobs-Requirements" table
c. "Report Description" column in "Response Times - Reports-Requirements" table
d. "Transaction Description" column in "Response Times - Data – Requirements" table
iii. Generic messages have been modified for specificity - column based error messages are applied for "Response Times - Data-Requirements" table, rather than showing generic messages like "***table is not filled adequately"
iv. Validation message is changed for "Report type" column in "Response Times - Reports – Requirements" table
v. In "Response Times - Data – Requirements" table, following validations are added
a. to check if the "Tables accessed for the performance critical transactions" column does not allow multiple table names separated by comma,
b. to check and ensure that empty values are disallowed for "Table size in MB" column.
vi. TIPAR ID validation for its allowed length, and that the first 5 characters starts with "TIPAR" (which is case sensitive).
vii. Corrected wrongly resolved conditional formatting in the Data_Validation sheet.
5. Changes or addition in Usage guidelines ("Read me" tab)
i. Usage guidelines: Added file format to be used and formats that are not supported
ii. Usage guidelines: Added QOPD file naming convention to be followed
iii. Updates to existing guidelines to include 
a. the case of auto-approval for Cloud IaaS based VM deployments, 
b. the exclusion of validation rules on requirement line items that have blank value for description type column.</t>
        </is>
      </c>
    </row>
    <row r="6" ht="306.75" customHeight="1">
      <c r="B6" s="192" t="n">
        <v>3</v>
      </c>
      <c r="C6" s="192" t="inlineStr">
        <is>
          <t>3.0.0</t>
        </is>
      </c>
      <c r="D6" s="4" t="n">
        <v>45211</v>
      </c>
      <c r="E6" s="194" t="inlineStr">
        <is>
          <t>1. Allow deployments in Cloud-IAAS (GCP/ AWS/ Azure) for auto approval of requirements similar to on-premise deployments
2. Added the following in the 'Asset Info' tab
	i. In 'Asset Information' table, separate rows for 'Asset Name' and 'Version',
	ii. In 'Asset Information' table, a new row for 'Brand Name',
	iii. In 'Technical Details' table, added the following questions
		a. Which is the Geographic location of the cloud datacenter?
		b. Is the response time requirement Transaction wise or request wise?
		c. Is the expected response/ completion time SLA of all online, report, and batch transactions of the asset known?
3. Modified the following
	i. In 'Response Times - Data – Requirements' table, the column header for upper limit for the table size, expects data to be filled in unit of mega bytes (MB)
	ii. Disallow comma (',') character in 'Name' and 'Version' fields of 'Software Stack - Information' table.
	iii. Content in the requirements table - 'Data Management – Requirements'
4. Fixed the following issues
	i. If 'DB Server' cell placeholder in 'Deployment Requirements' table is having 'NA' values for 'Number of Instances'/ 'CPU cores'/ 'RAM in GB' with remarks under 'Remarks'column, it is wrongly interpreted as application with no DB, and showing wrong validation message for 'Response Times - Data – Requirements' and 'Data Management – Requirements' tables.
	ii. In 'Response Times - Online Txns – Requirements'  table, incorrect data validations for SLA/ USLA fields.
	iii. Validation error is not shown when concurrent users distribution is done with 0 users.</t>
        </is>
      </c>
    </row>
    <row r="7" ht="12.75" customHeight="1">
      <c r="B7" s="192" t="n">
        <v>4</v>
      </c>
      <c r="C7" s="192" t="inlineStr">
        <is>
          <t>2.0.5</t>
        </is>
      </c>
      <c r="D7" s="4" t="n">
        <v>45155</v>
      </c>
      <c r="E7" s="194" t="inlineStr">
        <is>
          <t>1. When either of the 'Software Stack - Information' or the 'Deployment Requirements' table is missing data related to DB Server or DB Software, alert the user with the validation message to enter missing details. [In the 'Data_Constants' table, a new table 'DB Server check' was introduced to identify the position of 'DB Server' entry in both 'Deployment Requirements' and 'Software Stack - Information' tables. Similarly in this sheet where data for validation is filtered from the respective source tables in 'Asset Info' and 'Performance' sheets, two tables for filtering 'DB Server' data are newly introduced.]
2. In 'Response Times - Online Txns – Requirements' table, validation and message display for the case when response time is above 5 secs are refactored for ensuring correctness.
3. In 'Data Management – Requirements' table, the case where a 'NA' value in column 'D' (Requirement) was resulting in exclusion of the corresponding row of the table for validation checks is remediated.</t>
        </is>
      </c>
    </row>
    <row r="8" ht="12.75" customHeight="1">
      <c r="B8" s="192" t="n">
        <v>5</v>
      </c>
      <c r="C8" s="192" t="inlineStr">
        <is>
          <t>2.0.4</t>
        </is>
      </c>
      <c r="D8" s="4" t="n">
        <v>45127</v>
      </c>
      <c r="E8" s="194" t="inlineStr">
        <is>
          <t>1. Included editable rows for adding more of Web, App, Content/ Image, and DB Servers in 'Deployment Requirements' table.
2. In 'Channels - Information' table included editable rows for adding one or more new channels applicable to the asset.
3. Changed the name of the Apache family web server to correctly reflect that in the 'Software Stack - Information' table. 
4. Excluded the need for having a Web Server in the deployment stack for considering it as a Web-based data-centric Application.</t>
        </is>
      </c>
    </row>
    <row r="9" ht="12.75" customHeight="1">
      <c r="B9" s="192" t="n">
        <v>6</v>
      </c>
      <c r="C9" s="192" t="inlineStr">
        <is>
          <t>2.0.3</t>
        </is>
      </c>
      <c r="D9" s="4" t="n">
        <v>45120</v>
      </c>
      <c r="E9" s="194" t="inlineStr">
        <is>
          <t>1. To refactor &amp; fix the filter function that extracts asset information.
2. Add an experimental validation to check if there are additional requirements outside of the scope of current auto-approval mode.</t>
        </is>
      </c>
    </row>
    <row r="10" ht="25.5" customHeight="1">
      <c r="B10" s="192" t="n">
        <v>7</v>
      </c>
      <c r="C10" s="192" t="inlineStr">
        <is>
          <t>2.0.2</t>
        </is>
      </c>
      <c r="D10" s="4" t="n">
        <v>45114</v>
      </c>
      <c r="E10" s="194" t="inlineStr">
        <is>
          <t>1. To fix the Deployment Requirements table validation
- Conditionally validating the values of CPU cores and RAM based on the value of number of instances
- Fix the filter formula to pull all Servers entered in the table.
2. To fix the out of context error message appearing while entering requirements in 'Data – Requirements' table.</t>
        </is>
      </c>
    </row>
    <row r="11" ht="12.75" customHeight="1">
      <c r="B11" s="192" t="n"/>
      <c r="C11" s="192" t="inlineStr">
        <is>
          <t>2.0.1</t>
        </is>
      </c>
      <c r="D11" s="4" t="n">
        <v>45111</v>
      </c>
      <c r="E11" s="194" t="inlineStr">
        <is>
          <t>1. Javascript libraries/packages (extJs etc)
	- Updated with an example Javascript library - 'extJs 4.2'
2. Concurrent users range validation for auto-approval
	- Changed the formula to have the validation work even if the online and/or report transaction data set is blank
3. A minor change in the valid case message for batch job completion time (cell# - C43)
4. A minor change in the text for 'Intended purpose of validation' (cell# - C116)
5. A corresponding change in the 'Input Message' linked to #3 &amp; #4 above</t>
        </is>
      </c>
    </row>
    <row r="12" ht="12.75" customHeight="1">
      <c r="B12" s="192" t="n"/>
      <c r="C12" s="192" t="n"/>
      <c r="D12" s="192" t="n"/>
      <c r="E12" s="192" t="n"/>
    </row>
    <row r="13" ht="12.75" customHeight="1">
      <c r="B13" s="192" t="n"/>
      <c r="C13" s="192" t="n"/>
      <c r="D13" s="192" t="n"/>
      <c r="E13" s="192" t="n"/>
    </row>
    <row r="14" ht="12.75" customHeight="1">
      <c r="B14" s="192" t="n"/>
      <c r="C14" s="192" t="n"/>
      <c r="D14" s="192" t="n"/>
      <c r="E14" s="192" t="n"/>
    </row>
    <row r="15" ht="12.75" customHeight="1">
      <c r="B15" s="192" t="n"/>
      <c r="C15" s="192" t="n"/>
      <c r="D15" s="192" t="n"/>
      <c r="E15" s="192" t="n"/>
    </row>
    <row r="16" ht="12.75" customHeight="1">
      <c r="B16" s="192" t="n"/>
      <c r="C16" s="192" t="n"/>
      <c r="D16" s="192" t="n"/>
      <c r="E16" s="192" t="n"/>
    </row>
    <row r="17">
      <c r="B17" s="192" t="n"/>
      <c r="C17" s="192" t="n"/>
      <c r="D17" s="192" t="n"/>
      <c r="E17" s="192" t="n"/>
    </row>
    <row r="18">
      <c r="B18" s="192" t="n"/>
      <c r="C18" s="192" t="n"/>
      <c r="D18" s="192" t="n"/>
      <c r="E18" s="192" t="n"/>
    </row>
    <row r="19">
      <c r="B19" s="192" t="n"/>
      <c r="C19" s="192" t="n"/>
      <c r="D19" s="192" t="n"/>
      <c r="E19" s="192" t="n"/>
    </row>
    <row r="20">
      <c r="B20" s="192" t="n"/>
      <c r="C20" s="192" t="n"/>
      <c r="D20" s="192" t="n"/>
      <c r="E20" s="192" t="n"/>
    </row>
    <row r="21">
      <c r="B21" s="192" t="n"/>
      <c r="C21" s="192" t="n"/>
      <c r="D21" s="192" t="n"/>
      <c r="E21" s="192" t="n"/>
    </row>
    <row r="22">
      <c r="B22" s="192" t="n"/>
      <c r="C22" s="192" t="n"/>
      <c r="D22" s="192" t="n"/>
      <c r="E22" s="192" t="n"/>
    </row>
    <row r="23">
      <c r="B23" s="192" t="n"/>
      <c r="C23" s="192" t="n"/>
      <c r="D23" s="192" t="n"/>
      <c r="E23" s="192" t="n"/>
    </row>
  </sheetData>
  <sheetProtection selectLockedCells="0" selectUnlockedCells="0" algorithmName="SHA-512" sheet="1" objects="1" insertRows="1" insertHyperlinks="1" autoFilter="1" scenarios="1" formatColumns="1" deleteColumns="1" insertColumns="1" pivotTables="1" deleteRows="1" formatCells="1" saltValue="9zjTGiVR0DWAE4Q8Iqisgw==" formatRows="1" sort="1" spinCount="100000" hashValue="5f2NUlGFhwdIFmjktqILURZshipCD69jbLDvxGhd2RF8idsq0lIZFY8xX75xzyVK0Z1pO6b8Byomvxbdud0P0Q=="/>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26"/>
  <sheetViews>
    <sheetView topLeftCell="A9" zoomScaleNormal="100" workbookViewId="0">
      <selection activeCell="B23" sqref="B23"/>
    </sheetView>
  </sheetViews>
  <sheetFormatPr baseColWidth="8" defaultRowHeight="12"/>
  <cols>
    <col width="32.7109375" customWidth="1" style="177" min="1" max="1"/>
    <col width="53.140625" customWidth="1" style="177" min="2" max="2"/>
    <col width="18.28515625" customWidth="1" style="177" min="3" max="3"/>
    <col width="18.42578125" customWidth="1" style="177" min="4" max="4"/>
    <col width="9.140625" customWidth="1" style="177" min="5" max="16384"/>
  </cols>
  <sheetData>
    <row r="1">
      <c r="A1" s="181" t="inlineStr">
        <is>
          <t>Asset Registration ID</t>
        </is>
      </c>
      <c r="B1" s="187">
        <f>'Asset Info'!B11</f>
        <v/>
      </c>
      <c r="C1" s="176" t="n"/>
      <c r="D1" s="176" t="n"/>
      <c r="E1" s="176" t="n"/>
      <c r="F1" s="176" t="n"/>
      <c r="G1" s="176" t="n"/>
    </row>
    <row r="2">
      <c r="A2" s="181" t="inlineStr">
        <is>
          <t>QOPD Evaluation Status</t>
        </is>
      </c>
      <c r="B2" s="188">
        <f>IF(OR(AND(B8=0,B24,B25, B26), AND('Asset Info'!C16= Data_Constants!K49, B8=0, Data_Validations!Y3=TRUE)), "Cleared", "Not Cleared")</f>
        <v/>
      </c>
      <c r="C2" s="176" t="n"/>
      <c r="D2" s="176" t="n"/>
      <c r="E2" s="176" t="n"/>
      <c r="F2" s="176" t="n"/>
      <c r="G2" s="176" t="n"/>
    </row>
    <row r="3">
      <c r="A3" s="181" t="inlineStr">
        <is>
          <t>Reviewer Evaluation Status</t>
        </is>
      </c>
      <c r="B3" s="178" t="n"/>
      <c r="C3" s="176" t="n"/>
      <c r="D3" s="176" t="n"/>
      <c r="E3" s="176" t="n"/>
      <c r="F3" s="176" t="n"/>
      <c r="G3" s="176" t="n"/>
    </row>
    <row r="4" ht="36" customHeight="1">
      <c r="A4" s="181" t="inlineStr">
        <is>
          <t>Reviewer Final Comments</t>
        </is>
      </c>
      <c r="B4" s="231" t="n"/>
      <c r="C4" s="176" t="n"/>
      <c r="D4" s="176" t="n"/>
      <c r="E4" s="176" t="n"/>
      <c r="F4" s="176" t="n"/>
      <c r="G4" s="176" t="n"/>
    </row>
    <row r="5">
      <c r="A5" s="179" t="n"/>
      <c r="B5" s="179" t="n"/>
      <c r="C5" s="176" t="n"/>
      <c r="D5" s="176" t="n"/>
      <c r="E5" s="176" t="n"/>
      <c r="F5" s="176" t="n"/>
      <c r="G5" s="176" t="n"/>
    </row>
    <row r="6">
      <c r="A6" s="180" t="inlineStr">
        <is>
          <t>Total Applicable Checklist Items</t>
        </is>
      </c>
      <c r="B6" s="187">
        <f>COUNTIFS(B11:B21,"Approved")+COUNTIFS(B11:B21,"Not Approved")</f>
        <v/>
      </c>
      <c r="C6" s="176" t="n"/>
      <c r="D6" s="176" t="n"/>
      <c r="E6" s="176" t="n"/>
      <c r="F6" s="176" t="n"/>
      <c r="G6" s="176" t="n"/>
    </row>
    <row r="7">
      <c r="A7" s="180" t="inlineStr">
        <is>
          <t>Total Autoapproved</t>
        </is>
      </c>
      <c r="B7" s="187">
        <f>COUNTIFS(B11:B21,"Approved")</f>
        <v/>
      </c>
      <c r="C7" s="176" t="n"/>
      <c r="D7" s="176" t="n"/>
      <c r="E7" s="176" t="n"/>
      <c r="F7" s="176" t="n"/>
      <c r="G7" s="176" t="n"/>
    </row>
    <row r="8">
      <c r="A8" s="180" t="inlineStr">
        <is>
          <t>Total Not Autoapproved</t>
        </is>
      </c>
      <c r="B8" s="187">
        <f>COUNTIFS(B11:B21,"Not Approved")</f>
        <v/>
      </c>
      <c r="C8" s="176" t="n"/>
      <c r="D8" s="176" t="n"/>
      <c r="E8" s="176" t="n"/>
      <c r="F8" s="176" t="n"/>
      <c r="G8" s="176" t="n"/>
    </row>
    <row r="9">
      <c r="A9" s="179" t="n"/>
      <c r="B9" s="179" t="n"/>
      <c r="C9" s="176" t="n"/>
      <c r="D9" s="176" t="n"/>
      <c r="E9" s="176" t="n"/>
      <c r="F9" s="176" t="n"/>
      <c r="G9" s="176" t="n"/>
    </row>
    <row r="10">
      <c r="A10" s="181" t="inlineStr">
        <is>
          <t>Performance Requirement Category</t>
        </is>
      </c>
      <c r="B10" s="181" t="inlineStr">
        <is>
          <t>Approval Status</t>
        </is>
      </c>
      <c r="C10" s="176" t="n"/>
      <c r="D10" s="176" t="n"/>
      <c r="E10" s="176" t="n"/>
      <c r="F10" s="176" t="n"/>
      <c r="G10" s="176" t="n"/>
    </row>
    <row r="11">
      <c r="A11" s="182" t="inlineStr">
        <is>
          <t>Asset Information</t>
        </is>
      </c>
      <c r="B11" s="185">
        <f>IF(AND(Data_Validations!F3, Data_Validations!F4, Data_Validations!F35,Data_Validations!F36,Data_Validations!F39), "Approved", "Not Approved")</f>
        <v/>
      </c>
      <c r="C11" s="176" t="n"/>
      <c r="D11" s="176" t="n"/>
      <c r="E11" s="176" t="n"/>
      <c r="F11" s="176" t="n"/>
      <c r="G11" s="176" t="n"/>
    </row>
    <row r="12">
      <c r="A12" s="182" t="inlineStr">
        <is>
          <t>Deployment Requirements</t>
        </is>
      </c>
      <c r="B12" s="185">
        <f>IF(Data_Validations!F5, "Approved", "Not Approved")</f>
        <v/>
      </c>
      <c r="C12" s="176" t="n"/>
      <c r="D12" s="176" t="n"/>
      <c r="E12" s="176" t="n"/>
      <c r="F12" s="176" t="n"/>
      <c r="G12" s="176" t="n"/>
    </row>
    <row r="13">
      <c r="A13" s="182" t="inlineStr">
        <is>
          <t>Software Stack - Information</t>
        </is>
      </c>
      <c r="B13" s="185">
        <f>IF(AND(Data_Validations!F6, Data_Validations!F7), "Approved", "Not Approved")</f>
        <v/>
      </c>
      <c r="C13" s="176" t="n"/>
      <c r="D13" s="176" t="n"/>
      <c r="E13" s="176" t="n"/>
      <c r="F13" s="176" t="n"/>
      <c r="G13" s="176" t="n"/>
    </row>
    <row r="14">
      <c r="A14" s="182" t="inlineStr">
        <is>
          <t>User Types – Requirements</t>
        </is>
      </c>
      <c r="B14" s="185">
        <f>IF(Data_Validations!F8, "Approved", "Not Approved")</f>
        <v/>
      </c>
      <c r="C14" s="176" t="n"/>
      <c r="D14" s="176" t="n"/>
      <c r="E14" s="176" t="n"/>
      <c r="F14" s="176" t="n"/>
      <c r="G14" s="176" t="n"/>
    </row>
    <row r="15">
      <c r="A15" s="182" t="inlineStr">
        <is>
          <t>Channels - Information</t>
        </is>
      </c>
      <c r="B15" s="185">
        <f>IF(Data_Validations!F9, "Approved", "Not Approved")</f>
        <v/>
      </c>
      <c r="C15" s="176" t="n"/>
      <c r="D15" s="176" t="n"/>
      <c r="E15" s="176" t="n"/>
      <c r="F15" s="176" t="n"/>
      <c r="G15" s="176" t="n"/>
    </row>
    <row r="16" ht="24" customHeight="1">
      <c r="A16" s="182" t="inlineStr">
        <is>
          <t>Response Times - Online Txns – Requirements</t>
        </is>
      </c>
      <c r="B16" s="185">
        <f>IF(AND(Data_Validations!F10, Data_Validations!F11, Data_Validations!F12, Data_Validations!F13, Data_Validations!F14, Data_Validations!F15, Data_Validations!F16, Data_Validations!F40), "Approved", "Not Approved")</f>
        <v/>
      </c>
      <c r="C16" s="176" t="n"/>
      <c r="D16" s="176" t="n"/>
      <c r="E16" s="176" t="n"/>
      <c r="F16" s="176" t="n"/>
      <c r="G16" s="176" t="n"/>
    </row>
    <row r="17" ht="24" customHeight="1">
      <c r="A17" s="182" t="inlineStr">
        <is>
          <t>Response Times - Batch Jobs – Requirements</t>
        </is>
      </c>
      <c r="B17" s="185">
        <f>IF(AND(Data_Validations!F17,Data_Validations!F23,Data_Validations!F24,Data_Validations!F25, Data_Validations!F41),"Approved", "Not Approved")</f>
        <v/>
      </c>
      <c r="C17" s="176" t="n"/>
      <c r="D17" s="176" t="n"/>
      <c r="E17" s="176" t="n"/>
      <c r="F17" s="176" t="n"/>
      <c r="G17" s="176" t="n"/>
    </row>
    <row r="18" ht="24" customHeight="1">
      <c r="A18" s="182" t="inlineStr">
        <is>
          <t>Response Times - Reports – Requirements</t>
        </is>
      </c>
      <c r="B18" s="185">
        <f>IF(AND(Data_Validations!F18,Data_Validations!F31,Data_Validations!F32,Data_Validations!F33, Data_Validations!F42, Data_Validations!F43), "Approved", "Not Approved")</f>
        <v/>
      </c>
      <c r="C18" s="176" t="n"/>
      <c r="D18" s="176" t="n"/>
      <c r="E18" s="176" t="n"/>
      <c r="F18" s="176" t="n"/>
      <c r="G18" s="176" t="n"/>
    </row>
    <row r="19">
      <c r="A19" s="182" t="inlineStr">
        <is>
          <t>Response Times - Data – Requirements</t>
        </is>
      </c>
      <c r="B19" s="185">
        <f>IF(Data_Validations!F19, "Approved", "Not Approved")</f>
        <v/>
      </c>
      <c r="C19" s="176" t="n"/>
      <c r="D19" s="176" t="n"/>
      <c r="E19" s="176" t="n"/>
      <c r="F19" s="176" t="n"/>
      <c r="G19" s="176" t="n"/>
    </row>
    <row r="20">
      <c r="A20" s="182" t="inlineStr">
        <is>
          <t>Data Management – Requirements</t>
        </is>
      </c>
      <c r="B20" s="185">
        <f>IF(Data_Validations!F20, "Approved", "Not Approved")</f>
        <v/>
      </c>
      <c r="C20" s="176" t="n"/>
      <c r="D20" s="176" t="n"/>
      <c r="E20" s="176" t="n"/>
      <c r="F20" s="176" t="n"/>
      <c r="G20" s="176" t="n"/>
    </row>
    <row r="21">
      <c r="A21" s="183" t="inlineStr">
        <is>
          <t>Resource Utilization – Requirements</t>
        </is>
      </c>
      <c r="B21" s="186">
        <f>IF(AND(Data_Validations!F21, Data_Validations!F22), "Approved", "Not Approved")</f>
        <v/>
      </c>
      <c r="C21" s="176" t="n"/>
      <c r="D21" s="176" t="n"/>
      <c r="E21" s="176" t="n"/>
      <c r="F21" s="176" t="n"/>
      <c r="G21" s="176" t="n"/>
    </row>
    <row r="22">
      <c r="A22" s="184" t="n"/>
      <c r="B22" s="184" t="n"/>
    </row>
    <row r="23">
      <c r="A23" s="181" t="inlineStr">
        <is>
          <t>Contextual Background</t>
        </is>
      </c>
      <c r="B23" s="181" t="inlineStr">
        <is>
          <t>Status</t>
        </is>
      </c>
    </row>
    <row r="24" ht="24" customHeight="1">
      <c r="A24" s="182" t="inlineStr">
        <is>
          <t>Is it a Web-based data-centric Application?</t>
        </is>
      </c>
      <c r="B24" s="185">
        <f>IF(Data_Validations!K3, TRUE, FALSE)</f>
        <v/>
      </c>
      <c r="C24" s="176" t="n"/>
      <c r="D24" s="176" t="n"/>
      <c r="E24" s="176" t="n"/>
      <c r="F24" s="176" t="n"/>
      <c r="G24" s="176" t="n"/>
    </row>
    <row r="25" ht="36" customHeight="1">
      <c r="A25" s="183" t="inlineStr">
        <is>
          <t>Is User concurrency for peak load within the limits for auto-approval of requirements?</t>
        </is>
      </c>
      <c r="B25" s="186">
        <f>IF(Data_Validations!K4, TRUE, FALSE)</f>
        <v/>
      </c>
      <c r="C25" s="176" t="n"/>
      <c r="D25" s="176" t="n"/>
      <c r="E25" s="176" t="n"/>
      <c r="F25" s="176" t="n"/>
      <c r="G25" s="176" t="n"/>
    </row>
    <row r="26" ht="36" customHeight="1">
      <c r="A26" s="183" t="inlineStr">
        <is>
          <t xml:space="preserve"> Is the asset a normal web application based on the answers to the questionnaire in the 'Asset Info' sheet?</t>
        </is>
      </c>
      <c r="B26" s="186">
        <f>IF(Data_Validations!K5, TRUE, FALSE)</f>
        <v/>
      </c>
    </row>
  </sheetData>
  <sheetProtection selectLockedCells="0" selectUnlockedCells="0" algorithmName="SHA-512" sheet="1" objects="1" insertRows="1" insertHyperlinks="1" autoFilter="1" scenarios="1" formatColumns="1" deleteColumns="1" insertColumns="1" pivotTables="1" deleteRows="1" formatCells="1" saltValue="F5OKXlk4uAorbaLmTbheww==" formatRows="1" sort="1" spinCount="100000" hashValue="3hVzfq0DrP8bY0IaEpoMey4dl9y+1E2/mCboNI9NDosSvand0B488rsyRDn46QPYQtnCOCN3vTAGxZYlZR6SNQ=="/>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seji.thomas@tcs.com;binu1.s@tcs.com;kavinraj.m@tcs.com;sweety.sunny@tcs.com</dc:creator>
  <dcterms:created xmlns:dcterms="http://purl.org/dc/terms/" xmlns:xsi="http://www.w3.org/2001/XMLSchema-instance" xsi:type="dcterms:W3CDTF">2013-06-17T09:15:28Z</dcterms:created>
  <dcterms:modified xmlns:dcterms="http://purl.org/dc/terms/" xmlns:xsi="http://www.w3.org/2001/XMLSchema-instance" xsi:type="dcterms:W3CDTF">2026-06-24T12:00:21Z</dcterms:modified>
  <cp:lastModifiedBy>Seji Thomas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0x01010036692892E1730045A9EFF911CC47FD91</vt:lpwstr>
  </property>
</Properties>
</file>